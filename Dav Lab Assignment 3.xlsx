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9e6d9290ac352c/Pictures/Screenshots/Documents/"/>
    </mc:Choice>
  </mc:AlternateContent>
  <xr:revisionPtr revIDLastSave="2" documentId="13_ncr:20001_{2C5E0657-78F7-4DAE-94F2-AE824C7EBFCB}" xr6:coauthVersionLast="47" xr6:coauthVersionMax="47" xr10:uidLastSave="{4461A19E-CCA1-45EF-98AA-C19AFB8559DA}"/>
  <bookViews>
    <workbookView xWindow="-108" yWindow="-108" windowWidth="23256" windowHeight="12456" firstSheet="1" activeTab="3" xr2:uid="{00000000-000D-0000-FFFF-FFFF00000000}"/>
  </bookViews>
  <sheets>
    <sheet name="Analysis" sheetId="1" r:id="rId1"/>
    <sheet name="Alert" sheetId="2" r:id="rId2"/>
    <sheet name="Magtype" sheetId="3" r:id="rId3"/>
    <sheet name="Earthquake Events by year" sheetId="4" r:id="rId4"/>
    <sheet name="earthquake_1995-2023" sheetId="5" r:id="rId5"/>
    <sheet name="Summary" sheetId="6" r:id="rId6"/>
    <sheet name="Data quality Summary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8" l="1"/>
  <c r="E7" i="8"/>
  <c r="C7" i="8"/>
  <c r="A7" i="8"/>
  <c r="G4" i="8"/>
  <c r="E4" i="8"/>
  <c r="C4" i="8"/>
  <c r="A4" i="8"/>
  <c r="B29" i="6"/>
  <c r="B23" i="6"/>
  <c r="B22" i="6"/>
  <c r="B19" i="6"/>
  <c r="C19" i="6" s="1"/>
  <c r="B18" i="6"/>
  <c r="C18" i="6" s="1"/>
  <c r="B17" i="6"/>
  <c r="C17" i="6" s="1"/>
  <c r="B16" i="6"/>
  <c r="C16" i="6" s="1"/>
  <c r="E11" i="6"/>
  <c r="E10" i="6"/>
  <c r="B10" i="6"/>
  <c r="B9" i="6"/>
  <c r="B8" i="6"/>
  <c r="H7" i="6"/>
  <c r="B7" i="6"/>
  <c r="H6" i="6"/>
  <c r="B6" i="6"/>
  <c r="H5" i="6"/>
  <c r="B5" i="6"/>
  <c r="H4" i="6"/>
  <c r="D11" i="6"/>
  <c r="D10" i="6"/>
  <c r="D9" i="6"/>
  <c r="E9" i="6" s="1"/>
  <c r="D8" i="6"/>
  <c r="E8" i="6" s="1"/>
  <c r="D6" i="6"/>
  <c r="E6" i="6" s="1"/>
  <c r="D5" i="6"/>
  <c r="E5" i="6" s="1"/>
  <c r="D4" i="6" a="1"/>
  <c r="D4" i="6" s="1"/>
  <c r="E4" i="6" s="1"/>
  <c r="B4" i="6"/>
  <c r="B3" i="6"/>
  <c r="T2" i="6"/>
  <c r="X1001" i="5"/>
  <c r="V1001" i="5"/>
  <c r="U1001" i="5"/>
  <c r="X1000" i="5"/>
  <c r="V1000" i="5"/>
  <c r="U1000" i="5"/>
  <c r="X999" i="5"/>
  <c r="V999" i="5"/>
  <c r="U999" i="5"/>
  <c r="X998" i="5"/>
  <c r="V998" i="5"/>
  <c r="U998" i="5"/>
  <c r="X997" i="5"/>
  <c r="V997" i="5"/>
  <c r="U997" i="5"/>
  <c r="X996" i="5"/>
  <c r="V996" i="5"/>
  <c r="U996" i="5"/>
  <c r="X995" i="5"/>
  <c r="V995" i="5"/>
  <c r="U995" i="5"/>
  <c r="X994" i="5"/>
  <c r="V994" i="5"/>
  <c r="U994" i="5"/>
  <c r="X993" i="5"/>
  <c r="V993" i="5"/>
  <c r="U993" i="5"/>
  <c r="X992" i="5"/>
  <c r="V992" i="5"/>
  <c r="U992" i="5"/>
  <c r="X991" i="5"/>
  <c r="V991" i="5"/>
  <c r="U991" i="5"/>
  <c r="X990" i="5"/>
  <c r="V990" i="5"/>
  <c r="U990" i="5"/>
  <c r="X989" i="5"/>
  <c r="V989" i="5"/>
  <c r="U989" i="5"/>
  <c r="X988" i="5"/>
  <c r="V988" i="5"/>
  <c r="U988" i="5"/>
  <c r="X987" i="5"/>
  <c r="V987" i="5"/>
  <c r="U987" i="5"/>
  <c r="X986" i="5"/>
  <c r="V986" i="5"/>
  <c r="U986" i="5"/>
  <c r="X985" i="5"/>
  <c r="V985" i="5"/>
  <c r="U985" i="5"/>
  <c r="X984" i="5"/>
  <c r="V984" i="5"/>
  <c r="U984" i="5"/>
  <c r="X983" i="5"/>
  <c r="V983" i="5"/>
  <c r="U983" i="5"/>
  <c r="X982" i="5"/>
  <c r="V982" i="5"/>
  <c r="U982" i="5"/>
  <c r="X981" i="5"/>
  <c r="V981" i="5"/>
  <c r="U981" i="5"/>
  <c r="X980" i="5"/>
  <c r="V980" i="5"/>
  <c r="U980" i="5"/>
  <c r="X979" i="5"/>
  <c r="V979" i="5"/>
  <c r="U979" i="5"/>
  <c r="X978" i="5"/>
  <c r="V978" i="5"/>
  <c r="U978" i="5"/>
  <c r="X977" i="5"/>
  <c r="V977" i="5"/>
  <c r="U977" i="5"/>
  <c r="X976" i="5"/>
  <c r="V976" i="5"/>
  <c r="U976" i="5"/>
  <c r="X975" i="5"/>
  <c r="V975" i="5"/>
  <c r="U975" i="5"/>
  <c r="X974" i="5"/>
  <c r="V974" i="5"/>
  <c r="U974" i="5"/>
  <c r="X973" i="5"/>
  <c r="V973" i="5"/>
  <c r="U973" i="5"/>
  <c r="X972" i="5"/>
  <c r="V972" i="5"/>
  <c r="U972" i="5"/>
  <c r="X971" i="5"/>
  <c r="V971" i="5"/>
  <c r="U971" i="5"/>
  <c r="X970" i="5"/>
  <c r="V970" i="5"/>
  <c r="U970" i="5"/>
  <c r="X969" i="5"/>
  <c r="V969" i="5"/>
  <c r="U969" i="5"/>
  <c r="X968" i="5"/>
  <c r="V968" i="5"/>
  <c r="U968" i="5"/>
  <c r="X967" i="5"/>
  <c r="V967" i="5"/>
  <c r="U967" i="5"/>
  <c r="X966" i="5"/>
  <c r="V966" i="5"/>
  <c r="U966" i="5"/>
  <c r="X965" i="5"/>
  <c r="V965" i="5"/>
  <c r="U965" i="5"/>
  <c r="X964" i="5"/>
  <c r="V964" i="5"/>
  <c r="U964" i="5"/>
  <c r="X963" i="5"/>
  <c r="V963" i="5"/>
  <c r="U963" i="5"/>
  <c r="X962" i="5"/>
  <c r="V962" i="5"/>
  <c r="U962" i="5"/>
  <c r="X961" i="5"/>
  <c r="V961" i="5"/>
  <c r="U961" i="5"/>
  <c r="X960" i="5"/>
  <c r="V960" i="5"/>
  <c r="U960" i="5"/>
  <c r="X959" i="5"/>
  <c r="V959" i="5"/>
  <c r="U959" i="5"/>
  <c r="X958" i="5"/>
  <c r="V958" i="5"/>
  <c r="U958" i="5"/>
  <c r="X957" i="5"/>
  <c r="V957" i="5"/>
  <c r="U957" i="5"/>
  <c r="X956" i="5"/>
  <c r="V956" i="5"/>
  <c r="U956" i="5"/>
  <c r="X955" i="5"/>
  <c r="V955" i="5"/>
  <c r="U955" i="5"/>
  <c r="X954" i="5"/>
  <c r="V954" i="5"/>
  <c r="U954" i="5"/>
  <c r="X953" i="5"/>
  <c r="V953" i="5"/>
  <c r="U953" i="5"/>
  <c r="X952" i="5"/>
  <c r="V952" i="5"/>
  <c r="U952" i="5"/>
  <c r="X951" i="5"/>
  <c r="V951" i="5"/>
  <c r="U951" i="5"/>
  <c r="X950" i="5"/>
  <c r="V950" i="5"/>
  <c r="U950" i="5"/>
  <c r="X949" i="5"/>
  <c r="V949" i="5"/>
  <c r="U949" i="5"/>
  <c r="X948" i="5"/>
  <c r="V948" i="5"/>
  <c r="U948" i="5"/>
  <c r="X947" i="5"/>
  <c r="V947" i="5"/>
  <c r="U947" i="5"/>
  <c r="X946" i="5"/>
  <c r="V946" i="5"/>
  <c r="U946" i="5"/>
  <c r="X945" i="5"/>
  <c r="V945" i="5"/>
  <c r="U945" i="5"/>
  <c r="X944" i="5"/>
  <c r="V944" i="5"/>
  <c r="U944" i="5"/>
  <c r="X943" i="5"/>
  <c r="V943" i="5"/>
  <c r="U943" i="5"/>
  <c r="X942" i="5"/>
  <c r="V942" i="5"/>
  <c r="U942" i="5"/>
  <c r="X941" i="5"/>
  <c r="V941" i="5"/>
  <c r="U941" i="5"/>
  <c r="X940" i="5"/>
  <c r="V940" i="5"/>
  <c r="U940" i="5"/>
  <c r="X939" i="5"/>
  <c r="V939" i="5"/>
  <c r="U939" i="5"/>
  <c r="X938" i="5"/>
  <c r="V938" i="5"/>
  <c r="U938" i="5"/>
  <c r="X937" i="5"/>
  <c r="V937" i="5"/>
  <c r="U937" i="5"/>
  <c r="X936" i="5"/>
  <c r="V936" i="5"/>
  <c r="U936" i="5"/>
  <c r="X935" i="5"/>
  <c r="V935" i="5"/>
  <c r="U935" i="5"/>
  <c r="X934" i="5"/>
  <c r="V934" i="5"/>
  <c r="U934" i="5"/>
  <c r="X933" i="5"/>
  <c r="V933" i="5"/>
  <c r="U933" i="5"/>
  <c r="X932" i="5"/>
  <c r="V932" i="5"/>
  <c r="U932" i="5"/>
  <c r="X931" i="5"/>
  <c r="V931" i="5"/>
  <c r="U931" i="5"/>
  <c r="X930" i="5"/>
  <c r="V930" i="5"/>
  <c r="U930" i="5"/>
  <c r="X929" i="5"/>
  <c r="V929" i="5"/>
  <c r="U929" i="5"/>
  <c r="X928" i="5"/>
  <c r="V928" i="5"/>
  <c r="U928" i="5"/>
  <c r="X927" i="5"/>
  <c r="V927" i="5"/>
  <c r="U927" i="5"/>
  <c r="X926" i="5"/>
  <c r="V926" i="5"/>
  <c r="U926" i="5"/>
  <c r="X925" i="5"/>
  <c r="V925" i="5"/>
  <c r="U925" i="5"/>
  <c r="X924" i="5"/>
  <c r="V924" i="5"/>
  <c r="U924" i="5"/>
  <c r="X923" i="5"/>
  <c r="V923" i="5"/>
  <c r="U923" i="5"/>
  <c r="X922" i="5"/>
  <c r="V922" i="5"/>
  <c r="U922" i="5"/>
  <c r="X921" i="5"/>
  <c r="V921" i="5"/>
  <c r="U921" i="5"/>
  <c r="X920" i="5"/>
  <c r="V920" i="5"/>
  <c r="U920" i="5"/>
  <c r="X919" i="5"/>
  <c r="V919" i="5"/>
  <c r="U919" i="5"/>
  <c r="X918" i="5"/>
  <c r="V918" i="5"/>
  <c r="U918" i="5"/>
  <c r="X917" i="5"/>
  <c r="V917" i="5"/>
  <c r="U917" i="5"/>
  <c r="X916" i="5"/>
  <c r="V916" i="5"/>
  <c r="U916" i="5"/>
  <c r="X915" i="5"/>
  <c r="V915" i="5"/>
  <c r="U915" i="5"/>
  <c r="X914" i="5"/>
  <c r="V914" i="5"/>
  <c r="U914" i="5"/>
  <c r="X913" i="5"/>
  <c r="V913" i="5"/>
  <c r="U913" i="5"/>
  <c r="X912" i="5"/>
  <c r="V912" i="5"/>
  <c r="U912" i="5"/>
  <c r="X911" i="5"/>
  <c r="V911" i="5"/>
  <c r="U911" i="5"/>
  <c r="X910" i="5"/>
  <c r="V910" i="5"/>
  <c r="U910" i="5"/>
  <c r="X909" i="5"/>
  <c r="V909" i="5"/>
  <c r="U909" i="5"/>
  <c r="X908" i="5"/>
  <c r="V908" i="5"/>
  <c r="U908" i="5"/>
  <c r="X907" i="5"/>
  <c r="V907" i="5"/>
  <c r="U907" i="5"/>
  <c r="X906" i="5"/>
  <c r="V906" i="5"/>
  <c r="U906" i="5"/>
  <c r="X905" i="5"/>
  <c r="V905" i="5"/>
  <c r="U905" i="5"/>
  <c r="X904" i="5"/>
  <c r="V904" i="5"/>
  <c r="U904" i="5"/>
  <c r="X903" i="5"/>
  <c r="V903" i="5"/>
  <c r="U903" i="5"/>
  <c r="X902" i="5"/>
  <c r="V902" i="5"/>
  <c r="U902" i="5"/>
  <c r="X901" i="5"/>
  <c r="V901" i="5"/>
  <c r="U901" i="5"/>
  <c r="X900" i="5"/>
  <c r="V900" i="5"/>
  <c r="U900" i="5"/>
  <c r="X899" i="5"/>
  <c r="V899" i="5"/>
  <c r="U899" i="5"/>
  <c r="X898" i="5"/>
  <c r="V898" i="5"/>
  <c r="U898" i="5"/>
  <c r="X897" i="5"/>
  <c r="V897" i="5"/>
  <c r="U897" i="5"/>
  <c r="X896" i="5"/>
  <c r="V896" i="5"/>
  <c r="U896" i="5"/>
  <c r="X895" i="5"/>
  <c r="V895" i="5"/>
  <c r="U895" i="5"/>
  <c r="X894" i="5"/>
  <c r="V894" i="5"/>
  <c r="U894" i="5"/>
  <c r="X893" i="5"/>
  <c r="V893" i="5"/>
  <c r="U893" i="5"/>
  <c r="X892" i="5"/>
  <c r="V892" i="5"/>
  <c r="U892" i="5"/>
  <c r="X891" i="5"/>
  <c r="V891" i="5"/>
  <c r="U891" i="5"/>
  <c r="X890" i="5"/>
  <c r="V890" i="5"/>
  <c r="U890" i="5"/>
  <c r="X889" i="5"/>
  <c r="V889" i="5"/>
  <c r="U889" i="5"/>
  <c r="X888" i="5"/>
  <c r="V888" i="5"/>
  <c r="U888" i="5"/>
  <c r="X887" i="5"/>
  <c r="V887" i="5"/>
  <c r="U887" i="5"/>
  <c r="X886" i="5"/>
  <c r="V886" i="5"/>
  <c r="U886" i="5"/>
  <c r="X885" i="5"/>
  <c r="V885" i="5"/>
  <c r="U885" i="5"/>
  <c r="X884" i="5"/>
  <c r="V884" i="5"/>
  <c r="U884" i="5"/>
  <c r="X883" i="5"/>
  <c r="V883" i="5"/>
  <c r="U883" i="5"/>
  <c r="X882" i="5"/>
  <c r="V882" i="5"/>
  <c r="U882" i="5"/>
  <c r="X881" i="5"/>
  <c r="V881" i="5"/>
  <c r="U881" i="5"/>
  <c r="X880" i="5"/>
  <c r="V880" i="5"/>
  <c r="U880" i="5"/>
  <c r="X879" i="5"/>
  <c r="V879" i="5"/>
  <c r="U879" i="5"/>
  <c r="X878" i="5"/>
  <c r="V878" i="5"/>
  <c r="U878" i="5"/>
  <c r="X877" i="5"/>
  <c r="V877" i="5"/>
  <c r="U877" i="5"/>
  <c r="X876" i="5"/>
  <c r="V876" i="5"/>
  <c r="U876" i="5"/>
  <c r="X875" i="5"/>
  <c r="V875" i="5"/>
  <c r="U875" i="5"/>
  <c r="X874" i="5"/>
  <c r="V874" i="5"/>
  <c r="U874" i="5"/>
  <c r="X873" i="5"/>
  <c r="V873" i="5"/>
  <c r="U873" i="5"/>
  <c r="X872" i="5"/>
  <c r="V872" i="5"/>
  <c r="U872" i="5"/>
  <c r="X871" i="5"/>
  <c r="V871" i="5"/>
  <c r="U871" i="5"/>
  <c r="X870" i="5"/>
  <c r="V870" i="5"/>
  <c r="U870" i="5"/>
  <c r="X869" i="5"/>
  <c r="V869" i="5"/>
  <c r="U869" i="5"/>
  <c r="X868" i="5"/>
  <c r="V868" i="5"/>
  <c r="U868" i="5"/>
  <c r="X867" i="5"/>
  <c r="V867" i="5"/>
  <c r="U867" i="5"/>
  <c r="X866" i="5"/>
  <c r="V866" i="5"/>
  <c r="U866" i="5"/>
  <c r="X865" i="5"/>
  <c r="V865" i="5"/>
  <c r="U865" i="5"/>
  <c r="X864" i="5"/>
  <c r="V864" i="5"/>
  <c r="U864" i="5"/>
  <c r="X863" i="5"/>
  <c r="V863" i="5"/>
  <c r="U863" i="5"/>
  <c r="X862" i="5"/>
  <c r="V862" i="5"/>
  <c r="U862" i="5"/>
  <c r="X861" i="5"/>
  <c r="V861" i="5"/>
  <c r="U861" i="5"/>
  <c r="X860" i="5"/>
  <c r="V860" i="5"/>
  <c r="U860" i="5"/>
  <c r="X859" i="5"/>
  <c r="V859" i="5"/>
  <c r="U859" i="5"/>
  <c r="X858" i="5"/>
  <c r="V858" i="5"/>
  <c r="U858" i="5"/>
  <c r="X857" i="5"/>
  <c r="V857" i="5"/>
  <c r="U857" i="5"/>
  <c r="X856" i="5"/>
  <c r="V856" i="5"/>
  <c r="U856" i="5"/>
  <c r="X855" i="5"/>
  <c r="V855" i="5"/>
  <c r="U855" i="5"/>
  <c r="X854" i="5"/>
  <c r="V854" i="5"/>
  <c r="U854" i="5"/>
  <c r="X853" i="5"/>
  <c r="V853" i="5"/>
  <c r="U853" i="5"/>
  <c r="X852" i="5"/>
  <c r="V852" i="5"/>
  <c r="U852" i="5"/>
  <c r="X851" i="5"/>
  <c r="V851" i="5"/>
  <c r="U851" i="5"/>
  <c r="X850" i="5"/>
  <c r="V850" i="5"/>
  <c r="U850" i="5"/>
  <c r="X849" i="5"/>
  <c r="V849" i="5"/>
  <c r="U849" i="5"/>
  <c r="X848" i="5"/>
  <c r="V848" i="5"/>
  <c r="U848" i="5"/>
  <c r="X847" i="5"/>
  <c r="V847" i="5"/>
  <c r="U847" i="5"/>
  <c r="X846" i="5"/>
  <c r="V846" i="5"/>
  <c r="U846" i="5"/>
  <c r="X845" i="5"/>
  <c r="V845" i="5"/>
  <c r="U845" i="5"/>
  <c r="X844" i="5"/>
  <c r="V844" i="5"/>
  <c r="U844" i="5"/>
  <c r="X843" i="5"/>
  <c r="V843" i="5"/>
  <c r="U843" i="5"/>
  <c r="X842" i="5"/>
  <c r="V842" i="5"/>
  <c r="U842" i="5"/>
  <c r="X841" i="5"/>
  <c r="V841" i="5"/>
  <c r="U841" i="5"/>
  <c r="X840" i="5"/>
  <c r="V840" i="5"/>
  <c r="U840" i="5"/>
  <c r="X839" i="5"/>
  <c r="V839" i="5"/>
  <c r="U839" i="5"/>
  <c r="X838" i="5"/>
  <c r="V838" i="5"/>
  <c r="U838" i="5"/>
  <c r="X837" i="5"/>
  <c r="V837" i="5"/>
  <c r="U837" i="5"/>
  <c r="X836" i="5"/>
  <c r="V836" i="5"/>
  <c r="U836" i="5"/>
  <c r="X835" i="5"/>
  <c r="V835" i="5"/>
  <c r="U835" i="5"/>
  <c r="X834" i="5"/>
  <c r="V834" i="5"/>
  <c r="U834" i="5"/>
  <c r="X833" i="5"/>
  <c r="V833" i="5"/>
  <c r="U833" i="5"/>
  <c r="X832" i="5"/>
  <c r="V832" i="5"/>
  <c r="U832" i="5"/>
  <c r="X831" i="5"/>
  <c r="V831" i="5"/>
  <c r="U831" i="5"/>
  <c r="X830" i="5"/>
  <c r="V830" i="5"/>
  <c r="U830" i="5"/>
  <c r="X829" i="5"/>
  <c r="V829" i="5"/>
  <c r="U829" i="5"/>
  <c r="X828" i="5"/>
  <c r="V828" i="5"/>
  <c r="U828" i="5"/>
  <c r="X827" i="5"/>
  <c r="V827" i="5"/>
  <c r="U827" i="5"/>
  <c r="X826" i="5"/>
  <c r="V826" i="5"/>
  <c r="U826" i="5"/>
  <c r="X825" i="5"/>
  <c r="V825" i="5"/>
  <c r="U825" i="5"/>
  <c r="X824" i="5"/>
  <c r="V824" i="5"/>
  <c r="U824" i="5"/>
  <c r="X823" i="5"/>
  <c r="V823" i="5"/>
  <c r="U823" i="5"/>
  <c r="X822" i="5"/>
  <c r="V822" i="5"/>
  <c r="U822" i="5"/>
  <c r="X821" i="5"/>
  <c r="V821" i="5"/>
  <c r="U821" i="5"/>
  <c r="X820" i="5"/>
  <c r="V820" i="5"/>
  <c r="U820" i="5"/>
  <c r="X819" i="5"/>
  <c r="V819" i="5"/>
  <c r="U819" i="5"/>
  <c r="X818" i="5"/>
  <c r="V818" i="5"/>
  <c r="U818" i="5"/>
  <c r="X817" i="5"/>
  <c r="V817" i="5"/>
  <c r="U817" i="5"/>
  <c r="X816" i="5"/>
  <c r="V816" i="5"/>
  <c r="U816" i="5"/>
  <c r="X815" i="5"/>
  <c r="V815" i="5"/>
  <c r="U815" i="5"/>
  <c r="X814" i="5"/>
  <c r="V814" i="5"/>
  <c r="U814" i="5"/>
  <c r="X813" i="5"/>
  <c r="V813" i="5"/>
  <c r="U813" i="5"/>
  <c r="X812" i="5"/>
  <c r="V812" i="5"/>
  <c r="U812" i="5"/>
  <c r="X811" i="5"/>
  <c r="V811" i="5"/>
  <c r="U811" i="5"/>
  <c r="X810" i="5"/>
  <c r="V810" i="5"/>
  <c r="U810" i="5"/>
  <c r="X809" i="5"/>
  <c r="V809" i="5"/>
  <c r="U809" i="5"/>
  <c r="X808" i="5"/>
  <c r="V808" i="5"/>
  <c r="U808" i="5"/>
  <c r="X807" i="5"/>
  <c r="V807" i="5"/>
  <c r="U807" i="5"/>
  <c r="X806" i="5"/>
  <c r="V806" i="5"/>
  <c r="U806" i="5"/>
  <c r="X805" i="5"/>
  <c r="V805" i="5"/>
  <c r="U805" i="5"/>
  <c r="X804" i="5"/>
  <c r="V804" i="5"/>
  <c r="U804" i="5"/>
  <c r="X803" i="5"/>
  <c r="V803" i="5"/>
  <c r="U803" i="5"/>
  <c r="X802" i="5"/>
  <c r="V802" i="5"/>
  <c r="U802" i="5"/>
  <c r="X801" i="5"/>
  <c r="V801" i="5"/>
  <c r="U801" i="5"/>
  <c r="X800" i="5"/>
  <c r="V800" i="5"/>
  <c r="U800" i="5"/>
  <c r="X799" i="5"/>
  <c r="V799" i="5"/>
  <c r="U799" i="5"/>
  <c r="X798" i="5"/>
  <c r="V798" i="5"/>
  <c r="U798" i="5"/>
  <c r="X797" i="5"/>
  <c r="V797" i="5"/>
  <c r="U797" i="5"/>
  <c r="X796" i="5"/>
  <c r="V796" i="5"/>
  <c r="U796" i="5"/>
  <c r="X795" i="5"/>
  <c r="V795" i="5"/>
  <c r="U795" i="5"/>
  <c r="X794" i="5"/>
  <c r="V794" i="5"/>
  <c r="U794" i="5"/>
  <c r="X793" i="5"/>
  <c r="V793" i="5"/>
  <c r="U793" i="5"/>
  <c r="X792" i="5"/>
  <c r="V792" i="5"/>
  <c r="U792" i="5"/>
  <c r="X791" i="5"/>
  <c r="V791" i="5"/>
  <c r="U791" i="5"/>
  <c r="X790" i="5"/>
  <c r="V790" i="5"/>
  <c r="U790" i="5"/>
  <c r="X789" i="5"/>
  <c r="V789" i="5"/>
  <c r="U789" i="5"/>
  <c r="X788" i="5"/>
  <c r="V788" i="5"/>
  <c r="U788" i="5"/>
  <c r="X787" i="5"/>
  <c r="V787" i="5"/>
  <c r="U787" i="5"/>
  <c r="X786" i="5"/>
  <c r="V786" i="5"/>
  <c r="U786" i="5"/>
  <c r="X785" i="5"/>
  <c r="V785" i="5"/>
  <c r="U785" i="5"/>
  <c r="X784" i="5"/>
  <c r="V784" i="5"/>
  <c r="U784" i="5"/>
  <c r="X783" i="5"/>
  <c r="V783" i="5"/>
  <c r="U783" i="5"/>
  <c r="X782" i="5"/>
  <c r="V782" i="5"/>
  <c r="U782" i="5"/>
  <c r="X781" i="5"/>
  <c r="V781" i="5"/>
  <c r="U781" i="5"/>
  <c r="X780" i="5"/>
  <c r="V780" i="5"/>
  <c r="U780" i="5"/>
  <c r="X779" i="5"/>
  <c r="V779" i="5"/>
  <c r="U779" i="5"/>
  <c r="X778" i="5"/>
  <c r="V778" i="5"/>
  <c r="U778" i="5"/>
  <c r="X777" i="5"/>
  <c r="V777" i="5"/>
  <c r="U777" i="5"/>
  <c r="X776" i="5"/>
  <c r="V776" i="5"/>
  <c r="U776" i="5"/>
  <c r="X775" i="5"/>
  <c r="V775" i="5"/>
  <c r="U775" i="5"/>
  <c r="X774" i="5"/>
  <c r="V774" i="5"/>
  <c r="U774" i="5"/>
  <c r="X773" i="5"/>
  <c r="V773" i="5"/>
  <c r="U773" i="5"/>
  <c r="X772" i="5"/>
  <c r="V772" i="5"/>
  <c r="U772" i="5"/>
  <c r="X771" i="5"/>
  <c r="V771" i="5"/>
  <c r="U771" i="5"/>
  <c r="X770" i="5"/>
  <c r="V770" i="5"/>
  <c r="U770" i="5"/>
  <c r="X769" i="5"/>
  <c r="V769" i="5"/>
  <c r="U769" i="5"/>
  <c r="X768" i="5"/>
  <c r="V768" i="5"/>
  <c r="U768" i="5"/>
  <c r="X767" i="5"/>
  <c r="V767" i="5"/>
  <c r="U767" i="5"/>
  <c r="X766" i="5"/>
  <c r="V766" i="5"/>
  <c r="U766" i="5"/>
  <c r="X765" i="5"/>
  <c r="V765" i="5"/>
  <c r="U765" i="5"/>
  <c r="X764" i="5"/>
  <c r="V764" i="5"/>
  <c r="U764" i="5"/>
  <c r="X763" i="5"/>
  <c r="V763" i="5"/>
  <c r="U763" i="5"/>
  <c r="X762" i="5"/>
  <c r="V762" i="5"/>
  <c r="U762" i="5"/>
  <c r="X761" i="5"/>
  <c r="V761" i="5"/>
  <c r="U761" i="5"/>
  <c r="X760" i="5"/>
  <c r="V760" i="5"/>
  <c r="U760" i="5"/>
  <c r="X759" i="5"/>
  <c r="V759" i="5"/>
  <c r="U759" i="5"/>
  <c r="X758" i="5"/>
  <c r="V758" i="5"/>
  <c r="U758" i="5"/>
  <c r="X757" i="5"/>
  <c r="V757" i="5"/>
  <c r="U757" i="5"/>
  <c r="X756" i="5"/>
  <c r="V756" i="5"/>
  <c r="U756" i="5"/>
  <c r="X755" i="5"/>
  <c r="V755" i="5"/>
  <c r="U755" i="5"/>
  <c r="X754" i="5"/>
  <c r="V754" i="5"/>
  <c r="U754" i="5"/>
  <c r="X753" i="5"/>
  <c r="V753" i="5"/>
  <c r="U753" i="5"/>
  <c r="X752" i="5"/>
  <c r="V752" i="5"/>
  <c r="U752" i="5"/>
  <c r="X751" i="5"/>
  <c r="V751" i="5"/>
  <c r="U751" i="5"/>
  <c r="X750" i="5"/>
  <c r="V750" i="5"/>
  <c r="U750" i="5"/>
  <c r="X749" i="5"/>
  <c r="V749" i="5"/>
  <c r="U749" i="5"/>
  <c r="X748" i="5"/>
  <c r="V748" i="5"/>
  <c r="U748" i="5"/>
  <c r="X747" i="5"/>
  <c r="V747" i="5"/>
  <c r="U747" i="5"/>
  <c r="X746" i="5"/>
  <c r="V746" i="5"/>
  <c r="U746" i="5"/>
  <c r="X745" i="5"/>
  <c r="V745" i="5"/>
  <c r="U745" i="5"/>
  <c r="X744" i="5"/>
  <c r="V744" i="5"/>
  <c r="U744" i="5"/>
  <c r="X743" i="5"/>
  <c r="V743" i="5"/>
  <c r="U743" i="5"/>
  <c r="X742" i="5"/>
  <c r="V742" i="5"/>
  <c r="U742" i="5"/>
  <c r="X741" i="5"/>
  <c r="V741" i="5"/>
  <c r="U741" i="5"/>
  <c r="X740" i="5"/>
  <c r="V740" i="5"/>
  <c r="U740" i="5"/>
  <c r="X739" i="5"/>
  <c r="V739" i="5"/>
  <c r="U739" i="5"/>
  <c r="X738" i="5"/>
  <c r="V738" i="5"/>
  <c r="U738" i="5"/>
  <c r="X737" i="5"/>
  <c r="V737" i="5"/>
  <c r="U737" i="5"/>
  <c r="X736" i="5"/>
  <c r="V736" i="5"/>
  <c r="U736" i="5"/>
  <c r="X735" i="5"/>
  <c r="V735" i="5"/>
  <c r="U735" i="5"/>
  <c r="X734" i="5"/>
  <c r="V734" i="5"/>
  <c r="U734" i="5"/>
  <c r="X733" i="5"/>
  <c r="V733" i="5"/>
  <c r="U733" i="5"/>
  <c r="X732" i="5"/>
  <c r="V732" i="5"/>
  <c r="U732" i="5"/>
  <c r="X731" i="5"/>
  <c r="V731" i="5"/>
  <c r="U731" i="5"/>
  <c r="X730" i="5"/>
  <c r="V730" i="5"/>
  <c r="U730" i="5"/>
  <c r="X729" i="5"/>
  <c r="V729" i="5"/>
  <c r="U729" i="5"/>
  <c r="X728" i="5"/>
  <c r="V728" i="5"/>
  <c r="U728" i="5"/>
  <c r="X727" i="5"/>
  <c r="V727" i="5"/>
  <c r="U727" i="5"/>
  <c r="X726" i="5"/>
  <c r="V726" i="5"/>
  <c r="U726" i="5"/>
  <c r="X725" i="5"/>
  <c r="V725" i="5"/>
  <c r="U725" i="5"/>
  <c r="X724" i="5"/>
  <c r="V724" i="5"/>
  <c r="U724" i="5"/>
  <c r="X723" i="5"/>
  <c r="V723" i="5"/>
  <c r="U723" i="5"/>
  <c r="X722" i="5"/>
  <c r="V722" i="5"/>
  <c r="U722" i="5"/>
  <c r="X721" i="5"/>
  <c r="V721" i="5"/>
  <c r="U721" i="5"/>
  <c r="X720" i="5"/>
  <c r="V720" i="5"/>
  <c r="U720" i="5"/>
  <c r="X719" i="5"/>
  <c r="V719" i="5"/>
  <c r="U719" i="5"/>
  <c r="X718" i="5"/>
  <c r="V718" i="5"/>
  <c r="U718" i="5"/>
  <c r="X717" i="5"/>
  <c r="V717" i="5"/>
  <c r="U717" i="5"/>
  <c r="X716" i="5"/>
  <c r="V716" i="5"/>
  <c r="U716" i="5"/>
  <c r="X715" i="5"/>
  <c r="V715" i="5"/>
  <c r="U715" i="5"/>
  <c r="X714" i="5"/>
  <c r="V714" i="5"/>
  <c r="U714" i="5"/>
  <c r="X713" i="5"/>
  <c r="V713" i="5"/>
  <c r="U713" i="5"/>
  <c r="X712" i="5"/>
  <c r="V712" i="5"/>
  <c r="U712" i="5"/>
  <c r="X711" i="5"/>
  <c r="V711" i="5"/>
  <c r="U711" i="5"/>
  <c r="X710" i="5"/>
  <c r="V710" i="5"/>
  <c r="U710" i="5"/>
  <c r="X709" i="5"/>
  <c r="V709" i="5"/>
  <c r="U709" i="5"/>
  <c r="X708" i="5"/>
  <c r="V708" i="5"/>
  <c r="U708" i="5"/>
  <c r="X707" i="5"/>
  <c r="V707" i="5"/>
  <c r="U707" i="5"/>
  <c r="X706" i="5"/>
  <c r="V706" i="5"/>
  <c r="U706" i="5"/>
  <c r="X705" i="5"/>
  <c r="V705" i="5"/>
  <c r="U705" i="5"/>
  <c r="X704" i="5"/>
  <c r="V704" i="5"/>
  <c r="U704" i="5"/>
  <c r="X703" i="5"/>
  <c r="V703" i="5"/>
  <c r="U703" i="5"/>
  <c r="X702" i="5"/>
  <c r="V702" i="5"/>
  <c r="U702" i="5"/>
  <c r="X701" i="5"/>
  <c r="V701" i="5"/>
  <c r="U701" i="5"/>
  <c r="X700" i="5"/>
  <c r="V700" i="5"/>
  <c r="U700" i="5"/>
  <c r="X699" i="5"/>
  <c r="V699" i="5"/>
  <c r="U699" i="5"/>
  <c r="X698" i="5"/>
  <c r="V698" i="5"/>
  <c r="U698" i="5"/>
  <c r="X697" i="5"/>
  <c r="V697" i="5"/>
  <c r="U697" i="5"/>
  <c r="X696" i="5"/>
  <c r="V696" i="5"/>
  <c r="U696" i="5"/>
  <c r="X695" i="5"/>
  <c r="V695" i="5"/>
  <c r="U695" i="5"/>
  <c r="X694" i="5"/>
  <c r="V694" i="5"/>
  <c r="U694" i="5"/>
  <c r="X693" i="5"/>
  <c r="V693" i="5"/>
  <c r="U693" i="5"/>
  <c r="X692" i="5"/>
  <c r="V692" i="5"/>
  <c r="U692" i="5"/>
  <c r="X691" i="5"/>
  <c r="V691" i="5"/>
  <c r="U691" i="5"/>
  <c r="X690" i="5"/>
  <c r="V690" i="5"/>
  <c r="U690" i="5"/>
  <c r="X689" i="5"/>
  <c r="V689" i="5"/>
  <c r="U689" i="5"/>
  <c r="X688" i="5"/>
  <c r="V688" i="5"/>
  <c r="U688" i="5"/>
  <c r="X687" i="5"/>
  <c r="V687" i="5"/>
  <c r="U687" i="5"/>
  <c r="X686" i="5"/>
  <c r="V686" i="5"/>
  <c r="U686" i="5"/>
  <c r="X685" i="5"/>
  <c r="V685" i="5"/>
  <c r="U685" i="5"/>
  <c r="X684" i="5"/>
  <c r="V684" i="5"/>
  <c r="U684" i="5"/>
  <c r="X683" i="5"/>
  <c r="V683" i="5"/>
  <c r="U683" i="5"/>
  <c r="X682" i="5"/>
  <c r="V682" i="5"/>
  <c r="U682" i="5"/>
  <c r="X681" i="5"/>
  <c r="V681" i="5"/>
  <c r="U681" i="5"/>
  <c r="X680" i="5"/>
  <c r="V680" i="5"/>
  <c r="U680" i="5"/>
  <c r="X679" i="5"/>
  <c r="V679" i="5"/>
  <c r="U679" i="5"/>
  <c r="X678" i="5"/>
  <c r="V678" i="5"/>
  <c r="U678" i="5"/>
  <c r="X677" i="5"/>
  <c r="V677" i="5"/>
  <c r="U677" i="5"/>
  <c r="X676" i="5"/>
  <c r="V676" i="5"/>
  <c r="U676" i="5"/>
  <c r="X675" i="5"/>
  <c r="V675" i="5"/>
  <c r="U675" i="5"/>
  <c r="X674" i="5"/>
  <c r="V674" i="5"/>
  <c r="U674" i="5"/>
  <c r="X673" i="5"/>
  <c r="V673" i="5"/>
  <c r="U673" i="5"/>
  <c r="X672" i="5"/>
  <c r="V672" i="5"/>
  <c r="U672" i="5"/>
  <c r="X671" i="5"/>
  <c r="V671" i="5"/>
  <c r="U671" i="5"/>
  <c r="X670" i="5"/>
  <c r="V670" i="5"/>
  <c r="U670" i="5"/>
  <c r="X669" i="5"/>
  <c r="V669" i="5"/>
  <c r="U669" i="5"/>
  <c r="X668" i="5"/>
  <c r="V668" i="5"/>
  <c r="U668" i="5"/>
  <c r="X667" i="5"/>
  <c r="V667" i="5"/>
  <c r="U667" i="5"/>
  <c r="X666" i="5"/>
  <c r="V666" i="5"/>
  <c r="U666" i="5"/>
  <c r="X665" i="5"/>
  <c r="V665" i="5"/>
  <c r="U665" i="5"/>
  <c r="X664" i="5"/>
  <c r="V664" i="5"/>
  <c r="U664" i="5"/>
  <c r="X663" i="5"/>
  <c r="V663" i="5"/>
  <c r="U663" i="5"/>
  <c r="X662" i="5"/>
  <c r="V662" i="5"/>
  <c r="U662" i="5"/>
  <c r="X661" i="5"/>
  <c r="V661" i="5"/>
  <c r="U661" i="5"/>
  <c r="X660" i="5"/>
  <c r="V660" i="5"/>
  <c r="U660" i="5"/>
  <c r="X659" i="5"/>
  <c r="V659" i="5"/>
  <c r="U659" i="5"/>
  <c r="X658" i="5"/>
  <c r="V658" i="5"/>
  <c r="U658" i="5"/>
  <c r="X657" i="5"/>
  <c r="V657" i="5"/>
  <c r="U657" i="5"/>
  <c r="X656" i="5"/>
  <c r="V656" i="5"/>
  <c r="U656" i="5"/>
  <c r="X655" i="5"/>
  <c r="V655" i="5"/>
  <c r="U655" i="5"/>
  <c r="X654" i="5"/>
  <c r="V654" i="5"/>
  <c r="U654" i="5"/>
  <c r="X653" i="5"/>
  <c r="V653" i="5"/>
  <c r="U653" i="5"/>
  <c r="X652" i="5"/>
  <c r="V652" i="5"/>
  <c r="U652" i="5"/>
  <c r="X651" i="5"/>
  <c r="V651" i="5"/>
  <c r="U651" i="5"/>
  <c r="X650" i="5"/>
  <c r="V650" i="5"/>
  <c r="U650" i="5"/>
  <c r="X649" i="5"/>
  <c r="V649" i="5"/>
  <c r="U649" i="5"/>
  <c r="X648" i="5"/>
  <c r="V648" i="5"/>
  <c r="U648" i="5"/>
  <c r="X647" i="5"/>
  <c r="V647" i="5"/>
  <c r="U647" i="5"/>
  <c r="X646" i="5"/>
  <c r="V646" i="5"/>
  <c r="U646" i="5"/>
  <c r="X645" i="5"/>
  <c r="V645" i="5"/>
  <c r="U645" i="5"/>
  <c r="X644" i="5"/>
  <c r="V644" i="5"/>
  <c r="U644" i="5"/>
  <c r="X643" i="5"/>
  <c r="V643" i="5"/>
  <c r="U643" i="5"/>
  <c r="X642" i="5"/>
  <c r="V642" i="5"/>
  <c r="U642" i="5"/>
  <c r="X641" i="5"/>
  <c r="V641" i="5"/>
  <c r="U641" i="5"/>
  <c r="X640" i="5"/>
  <c r="V640" i="5"/>
  <c r="U640" i="5"/>
  <c r="X639" i="5"/>
  <c r="V639" i="5"/>
  <c r="U639" i="5"/>
  <c r="X638" i="5"/>
  <c r="V638" i="5"/>
  <c r="U638" i="5"/>
  <c r="X637" i="5"/>
  <c r="V637" i="5"/>
  <c r="U637" i="5"/>
  <c r="X636" i="5"/>
  <c r="V636" i="5"/>
  <c r="U636" i="5"/>
  <c r="X635" i="5"/>
  <c r="V635" i="5"/>
  <c r="U635" i="5"/>
  <c r="X634" i="5"/>
  <c r="V634" i="5"/>
  <c r="U634" i="5"/>
  <c r="X633" i="5"/>
  <c r="V633" i="5"/>
  <c r="U633" i="5"/>
  <c r="X632" i="5"/>
  <c r="V632" i="5"/>
  <c r="U632" i="5"/>
  <c r="X631" i="5"/>
  <c r="V631" i="5"/>
  <c r="U631" i="5"/>
  <c r="X630" i="5"/>
  <c r="V630" i="5"/>
  <c r="U630" i="5"/>
  <c r="X629" i="5"/>
  <c r="V629" i="5"/>
  <c r="U629" i="5"/>
  <c r="X628" i="5"/>
  <c r="V628" i="5"/>
  <c r="U628" i="5"/>
  <c r="X627" i="5"/>
  <c r="V627" i="5"/>
  <c r="U627" i="5"/>
  <c r="X626" i="5"/>
  <c r="V626" i="5"/>
  <c r="U626" i="5"/>
  <c r="X625" i="5"/>
  <c r="V625" i="5"/>
  <c r="U625" i="5"/>
  <c r="X624" i="5"/>
  <c r="V624" i="5"/>
  <c r="U624" i="5"/>
  <c r="X623" i="5"/>
  <c r="V623" i="5"/>
  <c r="U623" i="5"/>
  <c r="X622" i="5"/>
  <c r="V622" i="5"/>
  <c r="U622" i="5"/>
  <c r="X621" i="5"/>
  <c r="V621" i="5"/>
  <c r="U621" i="5"/>
  <c r="X620" i="5"/>
  <c r="V620" i="5"/>
  <c r="U620" i="5"/>
  <c r="X619" i="5"/>
  <c r="V619" i="5"/>
  <c r="U619" i="5"/>
  <c r="X618" i="5"/>
  <c r="V618" i="5"/>
  <c r="U618" i="5"/>
  <c r="X617" i="5"/>
  <c r="V617" i="5"/>
  <c r="U617" i="5"/>
  <c r="X616" i="5"/>
  <c r="V616" i="5"/>
  <c r="U616" i="5"/>
  <c r="X615" i="5"/>
  <c r="V615" i="5"/>
  <c r="U615" i="5"/>
  <c r="X614" i="5"/>
  <c r="V614" i="5"/>
  <c r="U614" i="5"/>
  <c r="X613" i="5"/>
  <c r="V613" i="5"/>
  <c r="U613" i="5"/>
  <c r="X612" i="5"/>
  <c r="V612" i="5"/>
  <c r="U612" i="5"/>
  <c r="X611" i="5"/>
  <c r="V611" i="5"/>
  <c r="U611" i="5"/>
  <c r="X610" i="5"/>
  <c r="V610" i="5"/>
  <c r="U610" i="5"/>
  <c r="X609" i="5"/>
  <c r="V609" i="5"/>
  <c r="U609" i="5"/>
  <c r="X608" i="5"/>
  <c r="V608" i="5"/>
  <c r="U608" i="5"/>
  <c r="X607" i="5"/>
  <c r="V607" i="5"/>
  <c r="U607" i="5"/>
  <c r="X606" i="5"/>
  <c r="V606" i="5"/>
  <c r="U606" i="5"/>
  <c r="X605" i="5"/>
  <c r="V605" i="5"/>
  <c r="U605" i="5"/>
  <c r="X604" i="5"/>
  <c r="V604" i="5"/>
  <c r="U604" i="5"/>
  <c r="X603" i="5"/>
  <c r="V603" i="5"/>
  <c r="U603" i="5"/>
  <c r="X602" i="5"/>
  <c r="V602" i="5"/>
  <c r="U602" i="5"/>
  <c r="X601" i="5"/>
  <c r="V601" i="5"/>
  <c r="U601" i="5"/>
  <c r="X600" i="5"/>
  <c r="V600" i="5"/>
  <c r="U600" i="5"/>
  <c r="X599" i="5"/>
  <c r="V599" i="5"/>
  <c r="U599" i="5"/>
  <c r="X598" i="5"/>
  <c r="V598" i="5"/>
  <c r="U598" i="5"/>
  <c r="X597" i="5"/>
  <c r="V597" i="5"/>
  <c r="U597" i="5"/>
  <c r="X596" i="5"/>
  <c r="V596" i="5"/>
  <c r="U596" i="5"/>
  <c r="X595" i="5"/>
  <c r="V595" i="5"/>
  <c r="U595" i="5"/>
  <c r="X594" i="5"/>
  <c r="V594" i="5"/>
  <c r="U594" i="5"/>
  <c r="X593" i="5"/>
  <c r="V593" i="5"/>
  <c r="U593" i="5"/>
  <c r="X592" i="5"/>
  <c r="V592" i="5"/>
  <c r="U592" i="5"/>
  <c r="X591" i="5"/>
  <c r="V591" i="5"/>
  <c r="U591" i="5"/>
  <c r="X590" i="5"/>
  <c r="V590" i="5"/>
  <c r="U590" i="5"/>
  <c r="X589" i="5"/>
  <c r="V589" i="5"/>
  <c r="U589" i="5"/>
  <c r="X588" i="5"/>
  <c r="V588" i="5"/>
  <c r="U588" i="5"/>
  <c r="X587" i="5"/>
  <c r="V587" i="5"/>
  <c r="U587" i="5"/>
  <c r="X586" i="5"/>
  <c r="V586" i="5"/>
  <c r="U586" i="5"/>
  <c r="X585" i="5"/>
  <c r="V585" i="5"/>
  <c r="U585" i="5"/>
  <c r="X584" i="5"/>
  <c r="V584" i="5"/>
  <c r="U584" i="5"/>
  <c r="X583" i="5"/>
  <c r="V583" i="5"/>
  <c r="U583" i="5"/>
  <c r="X582" i="5"/>
  <c r="V582" i="5"/>
  <c r="U582" i="5"/>
  <c r="X581" i="5"/>
  <c r="V581" i="5"/>
  <c r="U581" i="5"/>
  <c r="X580" i="5"/>
  <c r="V580" i="5"/>
  <c r="U580" i="5"/>
  <c r="X579" i="5"/>
  <c r="V579" i="5"/>
  <c r="U579" i="5"/>
  <c r="X578" i="5"/>
  <c r="V578" i="5"/>
  <c r="U578" i="5"/>
  <c r="X577" i="5"/>
  <c r="V577" i="5"/>
  <c r="U577" i="5"/>
  <c r="X576" i="5"/>
  <c r="V576" i="5"/>
  <c r="U576" i="5"/>
  <c r="X575" i="5"/>
  <c r="V575" i="5"/>
  <c r="U575" i="5"/>
  <c r="X574" i="5"/>
  <c r="V574" i="5"/>
  <c r="U574" i="5"/>
  <c r="X573" i="5"/>
  <c r="V573" i="5"/>
  <c r="U573" i="5"/>
  <c r="X572" i="5"/>
  <c r="V572" i="5"/>
  <c r="U572" i="5"/>
  <c r="X571" i="5"/>
  <c r="V571" i="5"/>
  <c r="U571" i="5"/>
  <c r="X570" i="5"/>
  <c r="V570" i="5"/>
  <c r="U570" i="5"/>
  <c r="X569" i="5"/>
  <c r="V569" i="5"/>
  <c r="U569" i="5"/>
  <c r="X568" i="5"/>
  <c r="V568" i="5"/>
  <c r="U568" i="5"/>
  <c r="X567" i="5"/>
  <c r="V567" i="5"/>
  <c r="U567" i="5"/>
  <c r="X566" i="5"/>
  <c r="V566" i="5"/>
  <c r="U566" i="5"/>
  <c r="X565" i="5"/>
  <c r="V565" i="5"/>
  <c r="U565" i="5"/>
  <c r="X564" i="5"/>
  <c r="V564" i="5"/>
  <c r="U564" i="5"/>
  <c r="X563" i="5"/>
  <c r="V563" i="5"/>
  <c r="U563" i="5"/>
  <c r="X562" i="5"/>
  <c r="V562" i="5"/>
  <c r="U562" i="5"/>
  <c r="X561" i="5"/>
  <c r="V561" i="5"/>
  <c r="U561" i="5"/>
  <c r="X560" i="5"/>
  <c r="V560" i="5"/>
  <c r="U560" i="5"/>
  <c r="X559" i="5"/>
  <c r="V559" i="5"/>
  <c r="U559" i="5"/>
  <c r="X558" i="5"/>
  <c r="V558" i="5"/>
  <c r="U558" i="5"/>
  <c r="X557" i="5"/>
  <c r="V557" i="5"/>
  <c r="U557" i="5"/>
  <c r="X556" i="5"/>
  <c r="V556" i="5"/>
  <c r="U556" i="5"/>
  <c r="X555" i="5"/>
  <c r="V555" i="5"/>
  <c r="U555" i="5"/>
  <c r="X554" i="5"/>
  <c r="V554" i="5"/>
  <c r="U554" i="5"/>
  <c r="X553" i="5"/>
  <c r="V553" i="5"/>
  <c r="U553" i="5"/>
  <c r="X552" i="5"/>
  <c r="V552" i="5"/>
  <c r="U552" i="5"/>
  <c r="X551" i="5"/>
  <c r="V551" i="5"/>
  <c r="U551" i="5"/>
  <c r="X550" i="5"/>
  <c r="V550" i="5"/>
  <c r="U550" i="5"/>
  <c r="X549" i="5"/>
  <c r="V549" i="5"/>
  <c r="U549" i="5"/>
  <c r="X548" i="5"/>
  <c r="V548" i="5"/>
  <c r="U548" i="5"/>
  <c r="X547" i="5"/>
  <c r="V547" i="5"/>
  <c r="U547" i="5"/>
  <c r="X546" i="5"/>
  <c r="V546" i="5"/>
  <c r="U546" i="5"/>
  <c r="X545" i="5"/>
  <c r="V545" i="5"/>
  <c r="U545" i="5"/>
  <c r="X544" i="5"/>
  <c r="V544" i="5"/>
  <c r="U544" i="5"/>
  <c r="X543" i="5"/>
  <c r="V543" i="5"/>
  <c r="U543" i="5"/>
  <c r="X542" i="5"/>
  <c r="V542" i="5"/>
  <c r="U542" i="5"/>
  <c r="X541" i="5"/>
  <c r="V541" i="5"/>
  <c r="U541" i="5"/>
  <c r="X540" i="5"/>
  <c r="V540" i="5"/>
  <c r="U540" i="5"/>
  <c r="X539" i="5"/>
  <c r="V539" i="5"/>
  <c r="U539" i="5"/>
  <c r="X538" i="5"/>
  <c r="V538" i="5"/>
  <c r="U538" i="5"/>
  <c r="X537" i="5"/>
  <c r="V537" i="5"/>
  <c r="U537" i="5"/>
  <c r="X536" i="5"/>
  <c r="V536" i="5"/>
  <c r="U536" i="5"/>
  <c r="X535" i="5"/>
  <c r="V535" i="5"/>
  <c r="U535" i="5"/>
  <c r="X534" i="5"/>
  <c r="V534" i="5"/>
  <c r="U534" i="5"/>
  <c r="X533" i="5"/>
  <c r="V533" i="5"/>
  <c r="U533" i="5"/>
  <c r="X532" i="5"/>
  <c r="V532" i="5"/>
  <c r="U532" i="5"/>
  <c r="X531" i="5"/>
  <c r="V531" i="5"/>
  <c r="U531" i="5"/>
  <c r="X530" i="5"/>
  <c r="V530" i="5"/>
  <c r="U530" i="5"/>
  <c r="X529" i="5"/>
  <c r="V529" i="5"/>
  <c r="U529" i="5"/>
  <c r="X528" i="5"/>
  <c r="V528" i="5"/>
  <c r="U528" i="5"/>
  <c r="X527" i="5"/>
  <c r="V527" i="5"/>
  <c r="U527" i="5"/>
  <c r="X526" i="5"/>
  <c r="V526" i="5"/>
  <c r="U526" i="5"/>
  <c r="X525" i="5"/>
  <c r="V525" i="5"/>
  <c r="U525" i="5"/>
  <c r="X524" i="5"/>
  <c r="V524" i="5"/>
  <c r="U524" i="5"/>
  <c r="X523" i="5"/>
  <c r="V523" i="5"/>
  <c r="U523" i="5"/>
  <c r="X522" i="5"/>
  <c r="V522" i="5"/>
  <c r="U522" i="5"/>
  <c r="X521" i="5"/>
  <c r="V521" i="5"/>
  <c r="U521" i="5"/>
  <c r="X520" i="5"/>
  <c r="V520" i="5"/>
  <c r="U520" i="5"/>
  <c r="X519" i="5"/>
  <c r="V519" i="5"/>
  <c r="U519" i="5"/>
  <c r="X518" i="5"/>
  <c r="V518" i="5"/>
  <c r="U518" i="5"/>
  <c r="X517" i="5"/>
  <c r="V517" i="5"/>
  <c r="U517" i="5"/>
  <c r="X516" i="5"/>
  <c r="V516" i="5"/>
  <c r="U516" i="5"/>
  <c r="X515" i="5"/>
  <c r="V515" i="5"/>
  <c r="U515" i="5"/>
  <c r="X514" i="5"/>
  <c r="V514" i="5"/>
  <c r="U514" i="5"/>
  <c r="X513" i="5"/>
  <c r="V513" i="5"/>
  <c r="U513" i="5"/>
  <c r="X512" i="5"/>
  <c r="V512" i="5"/>
  <c r="U512" i="5"/>
  <c r="X511" i="5"/>
  <c r="V511" i="5"/>
  <c r="U511" i="5"/>
  <c r="X510" i="5"/>
  <c r="V510" i="5"/>
  <c r="U510" i="5"/>
  <c r="X509" i="5"/>
  <c r="V509" i="5"/>
  <c r="U509" i="5"/>
  <c r="X508" i="5"/>
  <c r="V508" i="5"/>
  <c r="U508" i="5"/>
  <c r="X507" i="5"/>
  <c r="V507" i="5"/>
  <c r="U507" i="5"/>
  <c r="X506" i="5"/>
  <c r="V506" i="5"/>
  <c r="U506" i="5"/>
  <c r="X505" i="5"/>
  <c r="V505" i="5"/>
  <c r="U505" i="5"/>
  <c r="X504" i="5"/>
  <c r="V504" i="5"/>
  <c r="U504" i="5"/>
  <c r="X503" i="5"/>
  <c r="V503" i="5"/>
  <c r="U503" i="5"/>
  <c r="X502" i="5"/>
  <c r="V502" i="5"/>
  <c r="U502" i="5"/>
  <c r="X501" i="5"/>
  <c r="V501" i="5"/>
  <c r="U501" i="5"/>
  <c r="X500" i="5"/>
  <c r="V500" i="5"/>
  <c r="U500" i="5"/>
  <c r="X499" i="5"/>
  <c r="V499" i="5"/>
  <c r="U499" i="5"/>
  <c r="X498" i="5"/>
  <c r="V498" i="5"/>
  <c r="U498" i="5"/>
  <c r="X497" i="5"/>
  <c r="V497" i="5"/>
  <c r="U497" i="5"/>
  <c r="X496" i="5"/>
  <c r="V496" i="5"/>
  <c r="U496" i="5"/>
  <c r="X495" i="5"/>
  <c r="V495" i="5"/>
  <c r="U495" i="5"/>
  <c r="X494" i="5"/>
  <c r="V494" i="5"/>
  <c r="U494" i="5"/>
  <c r="X493" i="5"/>
  <c r="V493" i="5"/>
  <c r="U493" i="5"/>
  <c r="X492" i="5"/>
  <c r="V492" i="5"/>
  <c r="U492" i="5"/>
  <c r="X491" i="5"/>
  <c r="V491" i="5"/>
  <c r="U491" i="5"/>
  <c r="X490" i="5"/>
  <c r="V490" i="5"/>
  <c r="U490" i="5"/>
  <c r="X489" i="5"/>
  <c r="V489" i="5"/>
  <c r="U489" i="5"/>
  <c r="X488" i="5"/>
  <c r="V488" i="5"/>
  <c r="U488" i="5"/>
  <c r="X487" i="5"/>
  <c r="V487" i="5"/>
  <c r="U487" i="5"/>
  <c r="X486" i="5"/>
  <c r="V486" i="5"/>
  <c r="U486" i="5"/>
  <c r="X485" i="5"/>
  <c r="V485" i="5"/>
  <c r="U485" i="5"/>
  <c r="X484" i="5"/>
  <c r="V484" i="5"/>
  <c r="U484" i="5"/>
  <c r="X483" i="5"/>
  <c r="V483" i="5"/>
  <c r="U483" i="5"/>
  <c r="X482" i="5"/>
  <c r="V482" i="5"/>
  <c r="U482" i="5"/>
  <c r="X481" i="5"/>
  <c r="V481" i="5"/>
  <c r="U481" i="5"/>
  <c r="X480" i="5"/>
  <c r="V480" i="5"/>
  <c r="U480" i="5"/>
  <c r="X479" i="5"/>
  <c r="V479" i="5"/>
  <c r="U479" i="5"/>
  <c r="X478" i="5"/>
  <c r="V478" i="5"/>
  <c r="U478" i="5"/>
  <c r="X477" i="5"/>
  <c r="V477" i="5"/>
  <c r="U477" i="5"/>
  <c r="X476" i="5"/>
  <c r="V476" i="5"/>
  <c r="U476" i="5"/>
  <c r="X475" i="5"/>
  <c r="V475" i="5"/>
  <c r="U475" i="5"/>
  <c r="X474" i="5"/>
  <c r="V474" i="5"/>
  <c r="U474" i="5"/>
  <c r="X473" i="5"/>
  <c r="V473" i="5"/>
  <c r="U473" i="5"/>
  <c r="X472" i="5"/>
  <c r="V472" i="5"/>
  <c r="U472" i="5"/>
  <c r="X471" i="5"/>
  <c r="V471" i="5"/>
  <c r="U471" i="5"/>
  <c r="X470" i="5"/>
  <c r="V470" i="5"/>
  <c r="U470" i="5"/>
  <c r="X469" i="5"/>
  <c r="V469" i="5"/>
  <c r="U469" i="5"/>
  <c r="X468" i="5"/>
  <c r="V468" i="5"/>
  <c r="U468" i="5"/>
  <c r="X467" i="5"/>
  <c r="V467" i="5"/>
  <c r="U467" i="5"/>
  <c r="X466" i="5"/>
  <c r="V466" i="5"/>
  <c r="U466" i="5"/>
  <c r="X465" i="5"/>
  <c r="V465" i="5"/>
  <c r="U465" i="5"/>
  <c r="X464" i="5"/>
  <c r="V464" i="5"/>
  <c r="U464" i="5"/>
  <c r="X463" i="5"/>
  <c r="V463" i="5"/>
  <c r="U463" i="5"/>
  <c r="X462" i="5"/>
  <c r="V462" i="5"/>
  <c r="U462" i="5"/>
  <c r="X461" i="5"/>
  <c r="V461" i="5"/>
  <c r="U461" i="5"/>
  <c r="X460" i="5"/>
  <c r="V460" i="5"/>
  <c r="U460" i="5"/>
  <c r="X459" i="5"/>
  <c r="V459" i="5"/>
  <c r="U459" i="5"/>
  <c r="X458" i="5"/>
  <c r="V458" i="5"/>
  <c r="U458" i="5"/>
  <c r="X457" i="5"/>
  <c r="V457" i="5"/>
  <c r="U457" i="5"/>
  <c r="X456" i="5"/>
  <c r="V456" i="5"/>
  <c r="U456" i="5"/>
  <c r="X455" i="5"/>
  <c r="V455" i="5"/>
  <c r="U455" i="5"/>
  <c r="X454" i="5"/>
  <c r="V454" i="5"/>
  <c r="U454" i="5"/>
  <c r="X453" i="5"/>
  <c r="V453" i="5"/>
  <c r="U453" i="5"/>
  <c r="X452" i="5"/>
  <c r="V452" i="5"/>
  <c r="U452" i="5"/>
  <c r="X451" i="5"/>
  <c r="V451" i="5"/>
  <c r="U451" i="5"/>
  <c r="X450" i="5"/>
  <c r="V450" i="5"/>
  <c r="U450" i="5"/>
  <c r="X449" i="5"/>
  <c r="V449" i="5"/>
  <c r="U449" i="5"/>
  <c r="X448" i="5"/>
  <c r="V448" i="5"/>
  <c r="U448" i="5"/>
  <c r="X447" i="5"/>
  <c r="V447" i="5"/>
  <c r="U447" i="5"/>
  <c r="X446" i="5"/>
  <c r="V446" i="5"/>
  <c r="U446" i="5"/>
  <c r="X445" i="5"/>
  <c r="V445" i="5"/>
  <c r="U445" i="5"/>
  <c r="X444" i="5"/>
  <c r="V444" i="5"/>
  <c r="U444" i="5"/>
  <c r="X443" i="5"/>
  <c r="V443" i="5"/>
  <c r="U443" i="5"/>
  <c r="X442" i="5"/>
  <c r="V442" i="5"/>
  <c r="U442" i="5"/>
  <c r="X441" i="5"/>
  <c r="V441" i="5"/>
  <c r="U441" i="5"/>
  <c r="X440" i="5"/>
  <c r="V440" i="5"/>
  <c r="U440" i="5"/>
  <c r="X439" i="5"/>
  <c r="V439" i="5"/>
  <c r="U439" i="5"/>
  <c r="X438" i="5"/>
  <c r="V438" i="5"/>
  <c r="U438" i="5"/>
  <c r="X437" i="5"/>
  <c r="V437" i="5"/>
  <c r="U437" i="5"/>
  <c r="X436" i="5"/>
  <c r="V436" i="5"/>
  <c r="U436" i="5"/>
  <c r="X435" i="5"/>
  <c r="V435" i="5"/>
  <c r="U435" i="5"/>
  <c r="X434" i="5"/>
  <c r="V434" i="5"/>
  <c r="U434" i="5"/>
  <c r="X433" i="5"/>
  <c r="V433" i="5"/>
  <c r="U433" i="5"/>
  <c r="X432" i="5"/>
  <c r="V432" i="5"/>
  <c r="U432" i="5"/>
  <c r="X431" i="5"/>
  <c r="V431" i="5"/>
  <c r="U431" i="5"/>
  <c r="X430" i="5"/>
  <c r="V430" i="5"/>
  <c r="U430" i="5"/>
  <c r="X429" i="5"/>
  <c r="V429" i="5"/>
  <c r="U429" i="5"/>
  <c r="X428" i="5"/>
  <c r="V428" i="5"/>
  <c r="U428" i="5"/>
  <c r="X427" i="5"/>
  <c r="V427" i="5"/>
  <c r="U427" i="5"/>
  <c r="X426" i="5"/>
  <c r="V426" i="5"/>
  <c r="U426" i="5"/>
  <c r="X425" i="5"/>
  <c r="V425" i="5"/>
  <c r="U425" i="5"/>
  <c r="X424" i="5"/>
  <c r="V424" i="5"/>
  <c r="U424" i="5"/>
  <c r="X423" i="5"/>
  <c r="V423" i="5"/>
  <c r="U423" i="5"/>
  <c r="X422" i="5"/>
  <c r="V422" i="5"/>
  <c r="U422" i="5"/>
  <c r="X421" i="5"/>
  <c r="V421" i="5"/>
  <c r="U421" i="5"/>
  <c r="X420" i="5"/>
  <c r="V420" i="5"/>
  <c r="U420" i="5"/>
  <c r="X419" i="5"/>
  <c r="V419" i="5"/>
  <c r="U419" i="5"/>
  <c r="X418" i="5"/>
  <c r="V418" i="5"/>
  <c r="U418" i="5"/>
  <c r="X417" i="5"/>
  <c r="V417" i="5"/>
  <c r="U417" i="5"/>
  <c r="X416" i="5"/>
  <c r="V416" i="5"/>
  <c r="U416" i="5"/>
  <c r="X415" i="5"/>
  <c r="V415" i="5"/>
  <c r="U415" i="5"/>
  <c r="X414" i="5"/>
  <c r="V414" i="5"/>
  <c r="U414" i="5"/>
  <c r="X413" i="5"/>
  <c r="V413" i="5"/>
  <c r="U413" i="5"/>
  <c r="X412" i="5"/>
  <c r="V412" i="5"/>
  <c r="U412" i="5"/>
  <c r="X411" i="5"/>
  <c r="V411" i="5"/>
  <c r="U411" i="5"/>
  <c r="X410" i="5"/>
  <c r="V410" i="5"/>
  <c r="U410" i="5"/>
  <c r="X409" i="5"/>
  <c r="V409" i="5"/>
  <c r="U409" i="5"/>
  <c r="X408" i="5"/>
  <c r="V408" i="5"/>
  <c r="U408" i="5"/>
  <c r="X407" i="5"/>
  <c r="V407" i="5"/>
  <c r="U407" i="5"/>
  <c r="X406" i="5"/>
  <c r="V406" i="5"/>
  <c r="U406" i="5"/>
  <c r="X405" i="5"/>
  <c r="V405" i="5"/>
  <c r="U405" i="5"/>
  <c r="X404" i="5"/>
  <c r="V404" i="5"/>
  <c r="U404" i="5"/>
  <c r="X403" i="5"/>
  <c r="V403" i="5"/>
  <c r="U403" i="5"/>
  <c r="X402" i="5"/>
  <c r="V402" i="5"/>
  <c r="U402" i="5"/>
  <c r="X401" i="5"/>
  <c r="V401" i="5"/>
  <c r="U401" i="5"/>
  <c r="X400" i="5"/>
  <c r="V400" i="5"/>
  <c r="U400" i="5"/>
  <c r="X399" i="5"/>
  <c r="V399" i="5"/>
  <c r="U399" i="5"/>
  <c r="X398" i="5"/>
  <c r="V398" i="5"/>
  <c r="U398" i="5"/>
  <c r="X397" i="5"/>
  <c r="V397" i="5"/>
  <c r="U397" i="5"/>
  <c r="X396" i="5"/>
  <c r="V396" i="5"/>
  <c r="U396" i="5"/>
  <c r="X395" i="5"/>
  <c r="V395" i="5"/>
  <c r="U395" i="5"/>
  <c r="X394" i="5"/>
  <c r="V394" i="5"/>
  <c r="U394" i="5"/>
  <c r="X393" i="5"/>
  <c r="V393" i="5"/>
  <c r="U393" i="5"/>
  <c r="X392" i="5"/>
  <c r="V392" i="5"/>
  <c r="U392" i="5"/>
  <c r="X391" i="5"/>
  <c r="V391" i="5"/>
  <c r="U391" i="5"/>
  <c r="X390" i="5"/>
  <c r="V390" i="5"/>
  <c r="U390" i="5"/>
  <c r="X389" i="5"/>
  <c r="V389" i="5"/>
  <c r="U389" i="5"/>
  <c r="X388" i="5"/>
  <c r="V388" i="5"/>
  <c r="U388" i="5"/>
  <c r="X387" i="5"/>
  <c r="V387" i="5"/>
  <c r="U387" i="5"/>
  <c r="X386" i="5"/>
  <c r="V386" i="5"/>
  <c r="U386" i="5"/>
  <c r="X385" i="5"/>
  <c r="V385" i="5"/>
  <c r="U385" i="5"/>
  <c r="X384" i="5"/>
  <c r="V384" i="5"/>
  <c r="U384" i="5"/>
  <c r="X383" i="5"/>
  <c r="V383" i="5"/>
  <c r="U383" i="5"/>
  <c r="X382" i="5"/>
  <c r="V382" i="5"/>
  <c r="U382" i="5"/>
  <c r="X381" i="5"/>
  <c r="V381" i="5"/>
  <c r="U381" i="5"/>
  <c r="X380" i="5"/>
  <c r="V380" i="5"/>
  <c r="U380" i="5"/>
  <c r="X379" i="5"/>
  <c r="V379" i="5"/>
  <c r="U379" i="5"/>
  <c r="X378" i="5"/>
  <c r="V378" i="5"/>
  <c r="U378" i="5"/>
  <c r="X377" i="5"/>
  <c r="V377" i="5"/>
  <c r="U377" i="5"/>
  <c r="X376" i="5"/>
  <c r="V376" i="5"/>
  <c r="U376" i="5"/>
  <c r="X375" i="5"/>
  <c r="V375" i="5"/>
  <c r="U375" i="5"/>
  <c r="X374" i="5"/>
  <c r="V374" i="5"/>
  <c r="U374" i="5"/>
  <c r="X373" i="5"/>
  <c r="V373" i="5"/>
  <c r="U373" i="5"/>
  <c r="X372" i="5"/>
  <c r="V372" i="5"/>
  <c r="U372" i="5"/>
  <c r="X371" i="5"/>
  <c r="V371" i="5"/>
  <c r="U371" i="5"/>
  <c r="X370" i="5"/>
  <c r="V370" i="5"/>
  <c r="U370" i="5"/>
  <c r="X369" i="5"/>
  <c r="V369" i="5"/>
  <c r="U369" i="5"/>
  <c r="X368" i="5"/>
  <c r="V368" i="5"/>
  <c r="U368" i="5"/>
  <c r="X367" i="5"/>
  <c r="V367" i="5"/>
  <c r="U367" i="5"/>
  <c r="X366" i="5"/>
  <c r="V366" i="5"/>
  <c r="U366" i="5"/>
  <c r="X365" i="5"/>
  <c r="V365" i="5"/>
  <c r="U365" i="5"/>
  <c r="X364" i="5"/>
  <c r="V364" i="5"/>
  <c r="U364" i="5"/>
  <c r="X363" i="5"/>
  <c r="V363" i="5"/>
  <c r="U363" i="5"/>
  <c r="X362" i="5"/>
  <c r="V362" i="5"/>
  <c r="U362" i="5"/>
  <c r="X361" i="5"/>
  <c r="V361" i="5"/>
  <c r="U361" i="5"/>
  <c r="X360" i="5"/>
  <c r="V360" i="5"/>
  <c r="U360" i="5"/>
  <c r="X359" i="5"/>
  <c r="V359" i="5"/>
  <c r="U359" i="5"/>
  <c r="X358" i="5"/>
  <c r="V358" i="5"/>
  <c r="U358" i="5"/>
  <c r="X357" i="5"/>
  <c r="V357" i="5"/>
  <c r="U357" i="5"/>
  <c r="X356" i="5"/>
  <c r="V356" i="5"/>
  <c r="U356" i="5"/>
  <c r="X355" i="5"/>
  <c r="V355" i="5"/>
  <c r="U355" i="5"/>
  <c r="X354" i="5"/>
  <c r="V354" i="5"/>
  <c r="U354" i="5"/>
  <c r="X353" i="5"/>
  <c r="V353" i="5"/>
  <c r="U353" i="5"/>
  <c r="X352" i="5"/>
  <c r="V352" i="5"/>
  <c r="U352" i="5"/>
  <c r="X351" i="5"/>
  <c r="V351" i="5"/>
  <c r="U351" i="5"/>
  <c r="X350" i="5"/>
  <c r="V350" i="5"/>
  <c r="U350" i="5"/>
  <c r="X349" i="5"/>
  <c r="V349" i="5"/>
  <c r="U349" i="5"/>
  <c r="X348" i="5"/>
  <c r="V348" i="5"/>
  <c r="U348" i="5"/>
  <c r="X347" i="5"/>
  <c r="V347" i="5"/>
  <c r="U347" i="5"/>
  <c r="X346" i="5"/>
  <c r="V346" i="5"/>
  <c r="U346" i="5"/>
  <c r="X345" i="5"/>
  <c r="V345" i="5"/>
  <c r="U345" i="5"/>
  <c r="X344" i="5"/>
  <c r="V344" i="5"/>
  <c r="U344" i="5"/>
  <c r="X343" i="5"/>
  <c r="V343" i="5"/>
  <c r="U343" i="5"/>
  <c r="X342" i="5"/>
  <c r="V342" i="5"/>
  <c r="U342" i="5"/>
  <c r="X341" i="5"/>
  <c r="V341" i="5"/>
  <c r="U341" i="5"/>
  <c r="X340" i="5"/>
  <c r="V340" i="5"/>
  <c r="U340" i="5"/>
  <c r="X339" i="5"/>
  <c r="V339" i="5"/>
  <c r="U339" i="5"/>
  <c r="X338" i="5"/>
  <c r="V338" i="5"/>
  <c r="U338" i="5"/>
  <c r="X337" i="5"/>
  <c r="V337" i="5"/>
  <c r="U337" i="5"/>
  <c r="X336" i="5"/>
  <c r="V336" i="5"/>
  <c r="U336" i="5"/>
  <c r="X335" i="5"/>
  <c r="V335" i="5"/>
  <c r="U335" i="5"/>
  <c r="X334" i="5"/>
  <c r="V334" i="5"/>
  <c r="U334" i="5"/>
  <c r="X333" i="5"/>
  <c r="V333" i="5"/>
  <c r="U333" i="5"/>
  <c r="X332" i="5"/>
  <c r="V332" i="5"/>
  <c r="U332" i="5"/>
  <c r="X331" i="5"/>
  <c r="V331" i="5"/>
  <c r="U331" i="5"/>
  <c r="X330" i="5"/>
  <c r="V330" i="5"/>
  <c r="U330" i="5"/>
  <c r="X329" i="5"/>
  <c r="V329" i="5"/>
  <c r="U329" i="5"/>
  <c r="X328" i="5"/>
  <c r="V328" i="5"/>
  <c r="U328" i="5"/>
  <c r="X327" i="5"/>
  <c r="V327" i="5"/>
  <c r="U327" i="5"/>
  <c r="X326" i="5"/>
  <c r="V326" i="5"/>
  <c r="U326" i="5"/>
  <c r="X325" i="5"/>
  <c r="V325" i="5"/>
  <c r="U325" i="5"/>
  <c r="X324" i="5"/>
  <c r="V324" i="5"/>
  <c r="U324" i="5"/>
  <c r="X323" i="5"/>
  <c r="V323" i="5"/>
  <c r="U323" i="5"/>
  <c r="X322" i="5"/>
  <c r="V322" i="5"/>
  <c r="U322" i="5"/>
  <c r="X321" i="5"/>
  <c r="V321" i="5"/>
  <c r="U321" i="5"/>
  <c r="X320" i="5"/>
  <c r="V320" i="5"/>
  <c r="U320" i="5"/>
  <c r="X319" i="5"/>
  <c r="V319" i="5"/>
  <c r="U319" i="5"/>
  <c r="X318" i="5"/>
  <c r="V318" i="5"/>
  <c r="U318" i="5"/>
  <c r="X317" i="5"/>
  <c r="V317" i="5"/>
  <c r="U317" i="5"/>
  <c r="X316" i="5"/>
  <c r="V316" i="5"/>
  <c r="U316" i="5"/>
  <c r="X315" i="5"/>
  <c r="V315" i="5"/>
  <c r="U315" i="5"/>
  <c r="X314" i="5"/>
  <c r="V314" i="5"/>
  <c r="U314" i="5"/>
  <c r="X313" i="5"/>
  <c r="V313" i="5"/>
  <c r="U313" i="5"/>
  <c r="X312" i="5"/>
  <c r="V312" i="5"/>
  <c r="U312" i="5"/>
  <c r="X311" i="5"/>
  <c r="V311" i="5"/>
  <c r="U311" i="5"/>
  <c r="X310" i="5"/>
  <c r="V310" i="5"/>
  <c r="U310" i="5"/>
  <c r="X309" i="5"/>
  <c r="V309" i="5"/>
  <c r="U309" i="5"/>
  <c r="X308" i="5"/>
  <c r="V308" i="5"/>
  <c r="U308" i="5"/>
  <c r="X307" i="5"/>
  <c r="V307" i="5"/>
  <c r="U307" i="5"/>
  <c r="X306" i="5"/>
  <c r="V306" i="5"/>
  <c r="U306" i="5"/>
  <c r="X305" i="5"/>
  <c r="V305" i="5"/>
  <c r="U305" i="5"/>
  <c r="X304" i="5"/>
  <c r="V304" i="5"/>
  <c r="U304" i="5"/>
  <c r="X303" i="5"/>
  <c r="V303" i="5"/>
  <c r="U303" i="5"/>
  <c r="X302" i="5"/>
  <c r="V302" i="5"/>
  <c r="U302" i="5"/>
  <c r="X301" i="5"/>
  <c r="V301" i="5"/>
  <c r="U301" i="5"/>
  <c r="X300" i="5"/>
  <c r="V300" i="5"/>
  <c r="U300" i="5"/>
  <c r="X299" i="5"/>
  <c r="V299" i="5"/>
  <c r="U299" i="5"/>
  <c r="X298" i="5"/>
  <c r="V298" i="5"/>
  <c r="U298" i="5"/>
  <c r="X297" i="5"/>
  <c r="V297" i="5"/>
  <c r="U297" i="5"/>
  <c r="X296" i="5"/>
  <c r="V296" i="5"/>
  <c r="U296" i="5"/>
  <c r="X295" i="5"/>
  <c r="V295" i="5"/>
  <c r="U295" i="5"/>
  <c r="X294" i="5"/>
  <c r="V294" i="5"/>
  <c r="U294" i="5"/>
  <c r="X293" i="5"/>
  <c r="V293" i="5"/>
  <c r="U293" i="5"/>
  <c r="X292" i="5"/>
  <c r="V292" i="5"/>
  <c r="U292" i="5"/>
  <c r="X291" i="5"/>
  <c r="V291" i="5"/>
  <c r="U291" i="5"/>
  <c r="X290" i="5"/>
  <c r="V290" i="5"/>
  <c r="U290" i="5"/>
  <c r="X289" i="5"/>
  <c r="V289" i="5"/>
  <c r="U289" i="5"/>
  <c r="X288" i="5"/>
  <c r="V288" i="5"/>
  <c r="U288" i="5"/>
  <c r="X287" i="5"/>
  <c r="V287" i="5"/>
  <c r="U287" i="5"/>
  <c r="X286" i="5"/>
  <c r="V286" i="5"/>
  <c r="U286" i="5"/>
  <c r="X285" i="5"/>
  <c r="V285" i="5"/>
  <c r="U285" i="5"/>
  <c r="X284" i="5"/>
  <c r="V284" i="5"/>
  <c r="U284" i="5"/>
  <c r="X283" i="5"/>
  <c r="V283" i="5"/>
  <c r="U283" i="5"/>
  <c r="X282" i="5"/>
  <c r="V282" i="5"/>
  <c r="U282" i="5"/>
  <c r="X281" i="5"/>
  <c r="V281" i="5"/>
  <c r="U281" i="5"/>
  <c r="X280" i="5"/>
  <c r="V280" i="5"/>
  <c r="U280" i="5"/>
  <c r="X279" i="5"/>
  <c r="V279" i="5"/>
  <c r="U279" i="5"/>
  <c r="X278" i="5"/>
  <c r="V278" i="5"/>
  <c r="U278" i="5"/>
  <c r="X277" i="5"/>
  <c r="V277" i="5"/>
  <c r="U277" i="5"/>
  <c r="X276" i="5"/>
  <c r="V276" i="5"/>
  <c r="U276" i="5"/>
  <c r="X275" i="5"/>
  <c r="V275" i="5"/>
  <c r="U275" i="5"/>
  <c r="X274" i="5"/>
  <c r="V274" i="5"/>
  <c r="U274" i="5"/>
  <c r="X273" i="5"/>
  <c r="V273" i="5"/>
  <c r="U273" i="5"/>
  <c r="X272" i="5"/>
  <c r="V272" i="5"/>
  <c r="U272" i="5"/>
  <c r="X271" i="5"/>
  <c r="V271" i="5"/>
  <c r="U271" i="5"/>
  <c r="X270" i="5"/>
  <c r="V270" i="5"/>
  <c r="U270" i="5"/>
  <c r="X269" i="5"/>
  <c r="V269" i="5"/>
  <c r="U269" i="5"/>
  <c r="X268" i="5"/>
  <c r="V268" i="5"/>
  <c r="U268" i="5"/>
  <c r="X267" i="5"/>
  <c r="V267" i="5"/>
  <c r="U267" i="5"/>
  <c r="X266" i="5"/>
  <c r="V266" i="5"/>
  <c r="U266" i="5"/>
  <c r="X265" i="5"/>
  <c r="V265" i="5"/>
  <c r="U265" i="5"/>
  <c r="X264" i="5"/>
  <c r="V264" i="5"/>
  <c r="U264" i="5"/>
  <c r="X263" i="5"/>
  <c r="V263" i="5"/>
  <c r="U263" i="5"/>
  <c r="X262" i="5"/>
  <c r="V262" i="5"/>
  <c r="U262" i="5"/>
  <c r="X261" i="5"/>
  <c r="V261" i="5"/>
  <c r="U261" i="5"/>
  <c r="X260" i="5"/>
  <c r="V260" i="5"/>
  <c r="U260" i="5"/>
  <c r="X259" i="5"/>
  <c r="V259" i="5"/>
  <c r="U259" i="5"/>
  <c r="X258" i="5"/>
  <c r="V258" i="5"/>
  <c r="U258" i="5"/>
  <c r="X257" i="5"/>
  <c r="V257" i="5"/>
  <c r="U257" i="5"/>
  <c r="X256" i="5"/>
  <c r="V256" i="5"/>
  <c r="U256" i="5"/>
  <c r="X255" i="5"/>
  <c r="V255" i="5"/>
  <c r="U255" i="5"/>
  <c r="X254" i="5"/>
  <c r="V254" i="5"/>
  <c r="U254" i="5"/>
  <c r="X253" i="5"/>
  <c r="V253" i="5"/>
  <c r="U253" i="5"/>
  <c r="X252" i="5"/>
  <c r="V252" i="5"/>
  <c r="U252" i="5"/>
  <c r="X251" i="5"/>
  <c r="V251" i="5"/>
  <c r="U251" i="5"/>
  <c r="X250" i="5"/>
  <c r="V250" i="5"/>
  <c r="U250" i="5"/>
  <c r="X249" i="5"/>
  <c r="V249" i="5"/>
  <c r="U249" i="5"/>
  <c r="X248" i="5"/>
  <c r="V248" i="5"/>
  <c r="U248" i="5"/>
  <c r="X247" i="5"/>
  <c r="V247" i="5"/>
  <c r="U247" i="5"/>
  <c r="X246" i="5"/>
  <c r="V246" i="5"/>
  <c r="U246" i="5"/>
  <c r="X245" i="5"/>
  <c r="V245" i="5"/>
  <c r="U245" i="5"/>
  <c r="X244" i="5"/>
  <c r="V244" i="5"/>
  <c r="U244" i="5"/>
  <c r="X243" i="5"/>
  <c r="V243" i="5"/>
  <c r="U243" i="5"/>
  <c r="X242" i="5"/>
  <c r="V242" i="5"/>
  <c r="U242" i="5"/>
  <c r="X241" i="5"/>
  <c r="V241" i="5"/>
  <c r="U241" i="5"/>
  <c r="X240" i="5"/>
  <c r="V240" i="5"/>
  <c r="U240" i="5"/>
  <c r="X239" i="5"/>
  <c r="V239" i="5"/>
  <c r="U239" i="5"/>
  <c r="X238" i="5"/>
  <c r="V238" i="5"/>
  <c r="U238" i="5"/>
  <c r="X237" i="5"/>
  <c r="V237" i="5"/>
  <c r="U237" i="5"/>
  <c r="X236" i="5"/>
  <c r="V236" i="5"/>
  <c r="U236" i="5"/>
  <c r="X235" i="5"/>
  <c r="V235" i="5"/>
  <c r="U235" i="5"/>
  <c r="X234" i="5"/>
  <c r="V234" i="5"/>
  <c r="U234" i="5"/>
  <c r="X233" i="5"/>
  <c r="V233" i="5"/>
  <c r="U233" i="5"/>
  <c r="X232" i="5"/>
  <c r="V232" i="5"/>
  <c r="U232" i="5"/>
  <c r="X231" i="5"/>
  <c r="V231" i="5"/>
  <c r="U231" i="5"/>
  <c r="X230" i="5"/>
  <c r="V230" i="5"/>
  <c r="U230" i="5"/>
  <c r="X229" i="5"/>
  <c r="V229" i="5"/>
  <c r="U229" i="5"/>
  <c r="X228" i="5"/>
  <c r="V228" i="5"/>
  <c r="U228" i="5"/>
  <c r="X227" i="5"/>
  <c r="V227" i="5"/>
  <c r="U227" i="5"/>
  <c r="X226" i="5"/>
  <c r="V226" i="5"/>
  <c r="U226" i="5"/>
  <c r="X225" i="5"/>
  <c r="V225" i="5"/>
  <c r="U225" i="5"/>
  <c r="X224" i="5"/>
  <c r="V224" i="5"/>
  <c r="U224" i="5"/>
  <c r="X223" i="5"/>
  <c r="V223" i="5"/>
  <c r="U223" i="5"/>
  <c r="X222" i="5"/>
  <c r="V222" i="5"/>
  <c r="U222" i="5"/>
  <c r="X221" i="5"/>
  <c r="V221" i="5"/>
  <c r="U221" i="5"/>
  <c r="X220" i="5"/>
  <c r="V220" i="5"/>
  <c r="U220" i="5"/>
  <c r="X219" i="5"/>
  <c r="V219" i="5"/>
  <c r="U219" i="5"/>
  <c r="X218" i="5"/>
  <c r="V218" i="5"/>
  <c r="U218" i="5"/>
  <c r="X217" i="5"/>
  <c r="V217" i="5"/>
  <c r="U217" i="5"/>
  <c r="X216" i="5"/>
  <c r="V216" i="5"/>
  <c r="U216" i="5"/>
  <c r="X215" i="5"/>
  <c r="V215" i="5"/>
  <c r="U215" i="5"/>
  <c r="X214" i="5"/>
  <c r="V214" i="5"/>
  <c r="U214" i="5"/>
  <c r="X213" i="5"/>
  <c r="V213" i="5"/>
  <c r="U213" i="5"/>
  <c r="X212" i="5"/>
  <c r="V212" i="5"/>
  <c r="U212" i="5"/>
  <c r="X211" i="5"/>
  <c r="V211" i="5"/>
  <c r="U211" i="5"/>
  <c r="X210" i="5"/>
  <c r="V210" i="5"/>
  <c r="U210" i="5"/>
  <c r="X209" i="5"/>
  <c r="V209" i="5"/>
  <c r="U209" i="5"/>
  <c r="X208" i="5"/>
  <c r="V208" i="5"/>
  <c r="U208" i="5"/>
  <c r="X207" i="5"/>
  <c r="V207" i="5"/>
  <c r="U207" i="5"/>
  <c r="X206" i="5"/>
  <c r="V206" i="5"/>
  <c r="U206" i="5"/>
  <c r="X205" i="5"/>
  <c r="V205" i="5"/>
  <c r="U205" i="5"/>
  <c r="X204" i="5"/>
  <c r="V204" i="5"/>
  <c r="U204" i="5"/>
  <c r="X203" i="5"/>
  <c r="V203" i="5"/>
  <c r="U203" i="5"/>
  <c r="X202" i="5"/>
  <c r="V202" i="5"/>
  <c r="U202" i="5"/>
  <c r="X201" i="5"/>
  <c r="V201" i="5"/>
  <c r="U201" i="5"/>
  <c r="X200" i="5"/>
  <c r="V200" i="5"/>
  <c r="U200" i="5"/>
  <c r="X199" i="5"/>
  <c r="V199" i="5"/>
  <c r="U199" i="5"/>
  <c r="X198" i="5"/>
  <c r="V198" i="5"/>
  <c r="U198" i="5"/>
  <c r="X197" i="5"/>
  <c r="V197" i="5"/>
  <c r="U197" i="5"/>
  <c r="X196" i="5"/>
  <c r="V196" i="5"/>
  <c r="U196" i="5"/>
  <c r="X195" i="5"/>
  <c r="V195" i="5"/>
  <c r="U195" i="5"/>
  <c r="X194" i="5"/>
  <c r="V194" i="5"/>
  <c r="U194" i="5"/>
  <c r="X193" i="5"/>
  <c r="V193" i="5"/>
  <c r="U193" i="5"/>
  <c r="X192" i="5"/>
  <c r="V192" i="5"/>
  <c r="U192" i="5"/>
  <c r="X191" i="5"/>
  <c r="V191" i="5"/>
  <c r="U191" i="5"/>
  <c r="X190" i="5"/>
  <c r="V190" i="5"/>
  <c r="U190" i="5"/>
  <c r="X189" i="5"/>
  <c r="V189" i="5"/>
  <c r="U189" i="5"/>
  <c r="X188" i="5"/>
  <c r="V188" i="5"/>
  <c r="U188" i="5"/>
  <c r="X187" i="5"/>
  <c r="V187" i="5"/>
  <c r="U187" i="5"/>
  <c r="X186" i="5"/>
  <c r="V186" i="5"/>
  <c r="U186" i="5"/>
  <c r="X185" i="5"/>
  <c r="V185" i="5"/>
  <c r="U185" i="5"/>
  <c r="X184" i="5"/>
  <c r="V184" i="5"/>
  <c r="U184" i="5"/>
  <c r="X183" i="5"/>
  <c r="V183" i="5"/>
  <c r="U183" i="5"/>
  <c r="X182" i="5"/>
  <c r="V182" i="5"/>
  <c r="U182" i="5"/>
  <c r="X181" i="5"/>
  <c r="V181" i="5"/>
  <c r="U181" i="5"/>
  <c r="X180" i="5"/>
  <c r="V180" i="5"/>
  <c r="U180" i="5"/>
  <c r="X179" i="5"/>
  <c r="V179" i="5"/>
  <c r="U179" i="5"/>
  <c r="X178" i="5"/>
  <c r="V178" i="5"/>
  <c r="U178" i="5"/>
  <c r="X177" i="5"/>
  <c r="V177" i="5"/>
  <c r="U177" i="5"/>
  <c r="X176" i="5"/>
  <c r="V176" i="5"/>
  <c r="U176" i="5"/>
  <c r="X175" i="5"/>
  <c r="V175" i="5"/>
  <c r="U175" i="5"/>
  <c r="X174" i="5"/>
  <c r="V174" i="5"/>
  <c r="U174" i="5"/>
  <c r="X173" i="5"/>
  <c r="V173" i="5"/>
  <c r="U173" i="5"/>
  <c r="X172" i="5"/>
  <c r="V172" i="5"/>
  <c r="U172" i="5"/>
  <c r="X171" i="5"/>
  <c r="V171" i="5"/>
  <c r="U171" i="5"/>
  <c r="X170" i="5"/>
  <c r="V170" i="5"/>
  <c r="U170" i="5"/>
  <c r="X169" i="5"/>
  <c r="V169" i="5"/>
  <c r="U169" i="5"/>
  <c r="X168" i="5"/>
  <c r="V168" i="5"/>
  <c r="U168" i="5"/>
  <c r="X167" i="5"/>
  <c r="V167" i="5"/>
  <c r="U167" i="5"/>
  <c r="X166" i="5"/>
  <c r="V166" i="5"/>
  <c r="U166" i="5"/>
  <c r="X165" i="5"/>
  <c r="V165" i="5"/>
  <c r="U165" i="5"/>
  <c r="X164" i="5"/>
  <c r="V164" i="5"/>
  <c r="U164" i="5"/>
  <c r="X163" i="5"/>
  <c r="V163" i="5"/>
  <c r="U163" i="5"/>
  <c r="X162" i="5"/>
  <c r="V162" i="5"/>
  <c r="U162" i="5"/>
  <c r="X161" i="5"/>
  <c r="V161" i="5"/>
  <c r="U161" i="5"/>
  <c r="X160" i="5"/>
  <c r="V160" i="5"/>
  <c r="U160" i="5"/>
  <c r="X159" i="5"/>
  <c r="V159" i="5"/>
  <c r="U159" i="5"/>
  <c r="X158" i="5"/>
  <c r="V158" i="5"/>
  <c r="U158" i="5"/>
  <c r="X157" i="5"/>
  <c r="V157" i="5"/>
  <c r="U157" i="5"/>
  <c r="X156" i="5"/>
  <c r="V156" i="5"/>
  <c r="U156" i="5"/>
  <c r="X155" i="5"/>
  <c r="V155" i="5"/>
  <c r="U155" i="5"/>
  <c r="X154" i="5"/>
  <c r="V154" i="5"/>
  <c r="U154" i="5"/>
  <c r="X153" i="5"/>
  <c r="V153" i="5"/>
  <c r="U153" i="5"/>
  <c r="X152" i="5"/>
  <c r="V152" i="5"/>
  <c r="U152" i="5"/>
  <c r="X151" i="5"/>
  <c r="V151" i="5"/>
  <c r="U151" i="5"/>
  <c r="X150" i="5"/>
  <c r="V150" i="5"/>
  <c r="U150" i="5"/>
  <c r="X149" i="5"/>
  <c r="V149" i="5"/>
  <c r="U149" i="5"/>
  <c r="X148" i="5"/>
  <c r="V148" i="5"/>
  <c r="U148" i="5"/>
  <c r="X147" i="5"/>
  <c r="V147" i="5"/>
  <c r="U147" i="5"/>
  <c r="X146" i="5"/>
  <c r="V146" i="5"/>
  <c r="U146" i="5"/>
  <c r="X145" i="5"/>
  <c r="V145" i="5"/>
  <c r="U145" i="5"/>
  <c r="X144" i="5"/>
  <c r="V144" i="5"/>
  <c r="U144" i="5"/>
  <c r="X143" i="5"/>
  <c r="V143" i="5"/>
  <c r="U143" i="5"/>
  <c r="X142" i="5"/>
  <c r="V142" i="5"/>
  <c r="U142" i="5"/>
  <c r="X141" i="5"/>
  <c r="V141" i="5"/>
  <c r="U141" i="5"/>
  <c r="X140" i="5"/>
  <c r="V140" i="5"/>
  <c r="U140" i="5"/>
  <c r="X139" i="5"/>
  <c r="V139" i="5"/>
  <c r="U139" i="5"/>
  <c r="X138" i="5"/>
  <c r="V138" i="5"/>
  <c r="U138" i="5"/>
  <c r="X137" i="5"/>
  <c r="V137" i="5"/>
  <c r="U137" i="5"/>
  <c r="X136" i="5"/>
  <c r="V136" i="5"/>
  <c r="U136" i="5"/>
  <c r="X135" i="5"/>
  <c r="V135" i="5"/>
  <c r="U135" i="5"/>
  <c r="X134" i="5"/>
  <c r="V134" i="5"/>
  <c r="U134" i="5"/>
  <c r="X133" i="5"/>
  <c r="V133" i="5"/>
  <c r="U133" i="5"/>
  <c r="X132" i="5"/>
  <c r="V132" i="5"/>
  <c r="U132" i="5"/>
  <c r="X131" i="5"/>
  <c r="V131" i="5"/>
  <c r="U131" i="5"/>
  <c r="X130" i="5"/>
  <c r="V130" i="5"/>
  <c r="U130" i="5"/>
  <c r="X129" i="5"/>
  <c r="V129" i="5"/>
  <c r="U129" i="5"/>
  <c r="X128" i="5"/>
  <c r="V128" i="5"/>
  <c r="U128" i="5"/>
  <c r="X127" i="5"/>
  <c r="V127" i="5"/>
  <c r="U127" i="5"/>
  <c r="X126" i="5"/>
  <c r="V126" i="5"/>
  <c r="U126" i="5"/>
  <c r="X125" i="5"/>
  <c r="V125" i="5"/>
  <c r="U125" i="5"/>
  <c r="X124" i="5"/>
  <c r="V124" i="5"/>
  <c r="U124" i="5"/>
  <c r="X123" i="5"/>
  <c r="V123" i="5"/>
  <c r="U123" i="5"/>
  <c r="X122" i="5"/>
  <c r="V122" i="5"/>
  <c r="U122" i="5"/>
  <c r="X121" i="5"/>
  <c r="V121" i="5"/>
  <c r="U121" i="5"/>
  <c r="X120" i="5"/>
  <c r="V120" i="5"/>
  <c r="U120" i="5"/>
  <c r="X119" i="5"/>
  <c r="V119" i="5"/>
  <c r="U119" i="5"/>
  <c r="X118" i="5"/>
  <c r="V118" i="5"/>
  <c r="U118" i="5"/>
  <c r="X117" i="5"/>
  <c r="V117" i="5"/>
  <c r="U117" i="5"/>
  <c r="X116" i="5"/>
  <c r="V116" i="5"/>
  <c r="U116" i="5"/>
  <c r="X115" i="5"/>
  <c r="V115" i="5"/>
  <c r="U115" i="5"/>
  <c r="X114" i="5"/>
  <c r="V114" i="5"/>
  <c r="U114" i="5"/>
  <c r="X113" i="5"/>
  <c r="V113" i="5"/>
  <c r="U113" i="5"/>
  <c r="X112" i="5"/>
  <c r="V112" i="5"/>
  <c r="U112" i="5"/>
  <c r="X111" i="5"/>
  <c r="V111" i="5"/>
  <c r="U111" i="5"/>
  <c r="X110" i="5"/>
  <c r="V110" i="5"/>
  <c r="U110" i="5"/>
  <c r="X109" i="5"/>
  <c r="V109" i="5"/>
  <c r="U109" i="5"/>
  <c r="X108" i="5"/>
  <c r="V108" i="5"/>
  <c r="U108" i="5"/>
  <c r="X107" i="5"/>
  <c r="V107" i="5"/>
  <c r="U107" i="5"/>
  <c r="X106" i="5"/>
  <c r="V106" i="5"/>
  <c r="U106" i="5"/>
  <c r="X105" i="5"/>
  <c r="V105" i="5"/>
  <c r="U105" i="5"/>
  <c r="X104" i="5"/>
  <c r="V104" i="5"/>
  <c r="U104" i="5"/>
  <c r="X103" i="5"/>
  <c r="V103" i="5"/>
  <c r="U103" i="5"/>
  <c r="X102" i="5"/>
  <c r="V102" i="5"/>
  <c r="U102" i="5"/>
  <c r="X101" i="5"/>
  <c r="V101" i="5"/>
  <c r="U101" i="5"/>
  <c r="X100" i="5"/>
  <c r="V100" i="5"/>
  <c r="U100" i="5"/>
  <c r="X99" i="5"/>
  <c r="V99" i="5"/>
  <c r="U99" i="5"/>
  <c r="X98" i="5"/>
  <c r="V98" i="5"/>
  <c r="U98" i="5"/>
  <c r="X97" i="5"/>
  <c r="V97" i="5"/>
  <c r="U97" i="5"/>
  <c r="X96" i="5"/>
  <c r="V96" i="5"/>
  <c r="U96" i="5"/>
  <c r="X95" i="5"/>
  <c r="V95" i="5"/>
  <c r="U95" i="5"/>
  <c r="X94" i="5"/>
  <c r="V94" i="5"/>
  <c r="U94" i="5"/>
  <c r="X93" i="5"/>
  <c r="V93" i="5"/>
  <c r="U93" i="5"/>
  <c r="X92" i="5"/>
  <c r="V92" i="5"/>
  <c r="U92" i="5"/>
  <c r="X91" i="5"/>
  <c r="V91" i="5"/>
  <c r="U91" i="5"/>
  <c r="X90" i="5"/>
  <c r="V90" i="5"/>
  <c r="U90" i="5"/>
  <c r="X89" i="5"/>
  <c r="V89" i="5"/>
  <c r="U89" i="5"/>
  <c r="X88" i="5"/>
  <c r="V88" i="5"/>
  <c r="U88" i="5"/>
  <c r="X87" i="5"/>
  <c r="V87" i="5"/>
  <c r="U87" i="5"/>
  <c r="X86" i="5"/>
  <c r="V86" i="5"/>
  <c r="U86" i="5"/>
  <c r="X85" i="5"/>
  <c r="V85" i="5"/>
  <c r="U85" i="5"/>
  <c r="X84" i="5"/>
  <c r="V84" i="5"/>
  <c r="U84" i="5"/>
  <c r="X83" i="5"/>
  <c r="V83" i="5"/>
  <c r="U83" i="5"/>
  <c r="X82" i="5"/>
  <c r="V82" i="5"/>
  <c r="U82" i="5"/>
  <c r="X81" i="5"/>
  <c r="V81" i="5"/>
  <c r="U81" i="5"/>
  <c r="X80" i="5"/>
  <c r="V80" i="5"/>
  <c r="U80" i="5"/>
  <c r="X79" i="5"/>
  <c r="V79" i="5"/>
  <c r="U79" i="5"/>
  <c r="X78" i="5"/>
  <c r="V78" i="5"/>
  <c r="U78" i="5"/>
  <c r="X77" i="5"/>
  <c r="V77" i="5"/>
  <c r="U77" i="5"/>
  <c r="X76" i="5"/>
  <c r="V76" i="5"/>
  <c r="U76" i="5"/>
  <c r="X75" i="5"/>
  <c r="V75" i="5"/>
  <c r="U75" i="5"/>
  <c r="X74" i="5"/>
  <c r="V74" i="5"/>
  <c r="U74" i="5"/>
  <c r="X73" i="5"/>
  <c r="V73" i="5"/>
  <c r="U73" i="5"/>
  <c r="X72" i="5"/>
  <c r="V72" i="5"/>
  <c r="U72" i="5"/>
  <c r="X71" i="5"/>
  <c r="V71" i="5"/>
  <c r="U71" i="5"/>
  <c r="X70" i="5"/>
  <c r="V70" i="5"/>
  <c r="U70" i="5"/>
  <c r="X69" i="5"/>
  <c r="V69" i="5"/>
  <c r="U69" i="5"/>
  <c r="X68" i="5"/>
  <c r="V68" i="5"/>
  <c r="U68" i="5"/>
  <c r="X67" i="5"/>
  <c r="V67" i="5"/>
  <c r="U67" i="5"/>
  <c r="X66" i="5"/>
  <c r="V66" i="5"/>
  <c r="U66" i="5"/>
  <c r="X65" i="5"/>
  <c r="V65" i="5"/>
  <c r="U65" i="5"/>
  <c r="X64" i="5"/>
  <c r="V64" i="5"/>
  <c r="U64" i="5"/>
  <c r="X63" i="5"/>
  <c r="V63" i="5"/>
  <c r="U63" i="5"/>
  <c r="X62" i="5"/>
  <c r="V62" i="5"/>
  <c r="U62" i="5"/>
  <c r="X61" i="5"/>
  <c r="V61" i="5"/>
  <c r="U61" i="5"/>
  <c r="X60" i="5"/>
  <c r="V60" i="5"/>
  <c r="U60" i="5"/>
  <c r="X59" i="5"/>
  <c r="V59" i="5"/>
  <c r="U59" i="5"/>
  <c r="X58" i="5"/>
  <c r="V58" i="5"/>
  <c r="U58" i="5"/>
  <c r="X57" i="5"/>
  <c r="V57" i="5"/>
  <c r="U57" i="5"/>
  <c r="X56" i="5"/>
  <c r="V56" i="5"/>
  <c r="U56" i="5"/>
  <c r="X55" i="5"/>
  <c r="V55" i="5"/>
  <c r="U55" i="5"/>
  <c r="X54" i="5"/>
  <c r="V54" i="5"/>
  <c r="U54" i="5"/>
  <c r="X53" i="5"/>
  <c r="V53" i="5"/>
  <c r="U53" i="5"/>
  <c r="X52" i="5"/>
  <c r="V52" i="5"/>
  <c r="U52" i="5"/>
  <c r="X51" i="5"/>
  <c r="V51" i="5"/>
  <c r="U51" i="5"/>
  <c r="X50" i="5"/>
  <c r="V50" i="5"/>
  <c r="U50" i="5"/>
  <c r="X49" i="5"/>
  <c r="V49" i="5"/>
  <c r="U49" i="5"/>
  <c r="X48" i="5"/>
  <c r="V48" i="5"/>
  <c r="U48" i="5"/>
  <c r="X47" i="5"/>
  <c r="V47" i="5"/>
  <c r="U47" i="5"/>
  <c r="X46" i="5"/>
  <c r="V46" i="5"/>
  <c r="U46" i="5"/>
  <c r="X45" i="5"/>
  <c r="V45" i="5"/>
  <c r="U45" i="5"/>
  <c r="X44" i="5"/>
  <c r="V44" i="5"/>
  <c r="U44" i="5"/>
  <c r="X43" i="5"/>
  <c r="V43" i="5"/>
  <c r="U43" i="5"/>
  <c r="X42" i="5"/>
  <c r="V42" i="5"/>
  <c r="U42" i="5"/>
  <c r="X41" i="5"/>
  <c r="V41" i="5"/>
  <c r="U41" i="5"/>
  <c r="X40" i="5"/>
  <c r="V40" i="5"/>
  <c r="U40" i="5"/>
  <c r="X39" i="5"/>
  <c r="V39" i="5"/>
  <c r="U39" i="5"/>
  <c r="X38" i="5"/>
  <c r="V38" i="5"/>
  <c r="U38" i="5"/>
  <c r="X37" i="5"/>
  <c r="V37" i="5"/>
  <c r="U37" i="5"/>
  <c r="X36" i="5"/>
  <c r="V36" i="5"/>
  <c r="U36" i="5"/>
  <c r="X35" i="5"/>
  <c r="V35" i="5"/>
  <c r="U35" i="5"/>
  <c r="X34" i="5"/>
  <c r="V34" i="5"/>
  <c r="U34" i="5"/>
  <c r="X33" i="5"/>
  <c r="V33" i="5"/>
  <c r="U33" i="5"/>
  <c r="X32" i="5"/>
  <c r="V32" i="5"/>
  <c r="U32" i="5"/>
  <c r="X31" i="5"/>
  <c r="V31" i="5"/>
  <c r="U31" i="5"/>
  <c r="X30" i="5"/>
  <c r="V30" i="5"/>
  <c r="U30" i="5"/>
  <c r="X29" i="5"/>
  <c r="V29" i="5"/>
  <c r="U29" i="5"/>
  <c r="X28" i="5"/>
  <c r="V28" i="5"/>
  <c r="U28" i="5"/>
  <c r="X27" i="5"/>
  <c r="V27" i="5"/>
  <c r="U27" i="5"/>
  <c r="X26" i="5"/>
  <c r="V26" i="5"/>
  <c r="U26" i="5"/>
  <c r="X25" i="5"/>
  <c r="V25" i="5"/>
  <c r="U25" i="5"/>
  <c r="X24" i="5"/>
  <c r="V24" i="5"/>
  <c r="U24" i="5"/>
  <c r="X23" i="5"/>
  <c r="V23" i="5"/>
  <c r="U23" i="5"/>
  <c r="X22" i="5"/>
  <c r="V22" i="5"/>
  <c r="U22" i="5"/>
  <c r="X21" i="5"/>
  <c r="V21" i="5"/>
  <c r="U21" i="5"/>
  <c r="X20" i="5"/>
  <c r="V20" i="5"/>
  <c r="U20" i="5"/>
  <c r="X19" i="5"/>
  <c r="V19" i="5"/>
  <c r="U19" i="5"/>
  <c r="X18" i="5"/>
  <c r="V18" i="5"/>
  <c r="U18" i="5"/>
  <c r="X17" i="5"/>
  <c r="V17" i="5"/>
  <c r="U17" i="5"/>
  <c r="X16" i="5"/>
  <c r="V16" i="5"/>
  <c r="U16" i="5"/>
  <c r="X15" i="5"/>
  <c r="V15" i="5"/>
  <c r="U15" i="5"/>
  <c r="X14" i="5"/>
  <c r="V14" i="5"/>
  <c r="U14" i="5"/>
  <c r="X13" i="5"/>
  <c r="V13" i="5"/>
  <c r="U13" i="5"/>
  <c r="X12" i="5"/>
  <c r="V12" i="5"/>
  <c r="U12" i="5"/>
  <c r="X11" i="5"/>
  <c r="V11" i="5"/>
  <c r="U11" i="5"/>
  <c r="X10" i="5"/>
  <c r="V10" i="5"/>
  <c r="U10" i="5"/>
  <c r="X9" i="5"/>
  <c r="V9" i="5"/>
  <c r="U9" i="5"/>
  <c r="X8" i="5"/>
  <c r="V8" i="5"/>
  <c r="U8" i="5"/>
  <c r="X7" i="5"/>
  <c r="V7" i="5"/>
  <c r="U7" i="5"/>
  <c r="X6" i="5"/>
  <c r="V6" i="5"/>
  <c r="U6" i="5"/>
  <c r="X5" i="5"/>
  <c r="V5" i="5"/>
  <c r="U5" i="5"/>
  <c r="X4" i="5"/>
  <c r="V4" i="5"/>
  <c r="U4" i="5"/>
  <c r="X3" i="5"/>
  <c r="V3" i="5"/>
  <c r="U3" i="5"/>
  <c r="X2" i="5"/>
  <c r="W2" i="5"/>
  <c r="V2" i="5"/>
  <c r="U2" i="5"/>
  <c r="B27" i="6" s="1"/>
  <c r="B26" i="6" l="1"/>
  <c r="D7" i="6"/>
  <c r="E7" i="6" s="1"/>
  <c r="D12" i="6"/>
  <c r="E12" i="6" s="1"/>
</calcChain>
</file>

<file path=xl/sharedStrings.xml><?xml version="1.0" encoding="utf-8"?>
<sst xmlns="http://schemas.openxmlformats.org/spreadsheetml/2006/main" count="5575" uniqueCount="1665">
  <si>
    <t>Earthquake Events by Year</t>
  </si>
  <si>
    <t>Year</t>
  </si>
  <si>
    <t>Count of title</t>
  </si>
  <si>
    <t>Grand Total</t>
  </si>
  <si>
    <t>Row Labels</t>
  </si>
  <si>
    <t>Count of magType</t>
  </si>
  <si>
    <t>mb</t>
  </si>
  <si>
    <t>md</t>
  </si>
  <si>
    <t>Mi</t>
  </si>
  <si>
    <t>ml</t>
  </si>
  <si>
    <t>ms</t>
  </si>
  <si>
    <t>mw</t>
  </si>
  <si>
    <t>mwb</t>
  </si>
  <si>
    <t>mwc</t>
  </si>
  <si>
    <t>mww</t>
  </si>
  <si>
    <t>green</t>
  </si>
  <si>
    <t>orange</t>
  </si>
  <si>
    <t>red</t>
  </si>
  <si>
    <t>yellow</t>
  </si>
  <si>
    <t>(blank)</t>
  </si>
  <si>
    <t>Count of magType_lower</t>
  </si>
  <si>
    <t>mi</t>
  </si>
  <si>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</si>
  <si>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</si>
  <si>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</si>
  <si>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</si>
  <si>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</si>
  <si>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</si>
  <si>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</si>
  <si>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</si>
  <si>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</si>
  <si>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</si>
  <si>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</si>
  <si>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</si>
  <si>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</si>
  <si>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</si>
  <si>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</si>
  <si>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</si>
  <si>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</si>
  <si>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</si>
  <si>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</si>
  <si>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Column1</t>
  </si>
  <si>
    <t>title_pattern</t>
  </si>
  <si>
    <t>magType_lower</t>
  </si>
  <si>
    <t>duplicate_flag</t>
  </si>
  <si>
    <t>M 6.5 - 42 km W of Sola, Vanuatu</t>
  </si>
  <si>
    <t>us</t>
  </si>
  <si>
    <t>Sola, Vanuatu</t>
  </si>
  <si>
    <t>Vanuatu</t>
  </si>
  <si>
    <t>M 6.5 - 43 km S of IntipucÃ¡, El Salvador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</si>
  <si>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</si>
  <si>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</si>
  <si>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</si>
  <si>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</si>
  <si>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</si>
  <si>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</si>
  <si>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</si>
  <si>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</si>
  <si>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</si>
  <si>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</si>
  <si>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</si>
  <si>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</si>
  <si>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</si>
  <si>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</si>
  <si>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</si>
  <si>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</si>
  <si>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</si>
  <si>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</si>
  <si>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</si>
  <si>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</si>
  <si>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</si>
  <si>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</si>
  <si>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</si>
  <si>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</si>
  <si>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</si>
  <si>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</si>
  <si>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</si>
  <si>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</si>
  <si>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</si>
  <si>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</si>
  <si>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</si>
  <si>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</si>
  <si>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</si>
  <si>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</si>
  <si>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</si>
  <si>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</si>
  <si>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</si>
  <si>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</si>
  <si>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</si>
  <si>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</si>
  <si>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</si>
  <si>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</si>
  <si>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</si>
  <si>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</si>
  <si>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</si>
  <si>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</si>
  <si>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</si>
  <si>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</si>
  <si>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</si>
  <si>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</si>
  <si>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</si>
  <si>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</si>
  <si>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</si>
  <si>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</si>
  <si>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</si>
  <si>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</si>
  <si>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</si>
  <si>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</si>
  <si>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</si>
  <si>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</si>
  <si>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</si>
  <si>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</si>
  <si>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</si>
  <si>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Central Turkey</t>
  </si>
  <si>
    <t xml:space="preserve">M 6.8 - </t>
  </si>
  <si>
    <t>M 7.0 - 153 km NW of Tobelo, Indonesia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</si>
  <si>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</si>
  <si>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</si>
  <si>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</si>
  <si>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</si>
  <si>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</si>
  <si>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</si>
  <si>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</si>
  <si>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</si>
  <si>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</si>
  <si>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</si>
  <si>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</si>
  <si>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</si>
  <si>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</si>
  <si>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</si>
  <si>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</si>
  <si>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</si>
  <si>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</si>
  <si>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</si>
  <si>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</si>
  <si>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</si>
  <si>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</si>
  <si>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</si>
  <si>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</si>
  <si>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</si>
  <si>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</si>
  <si>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</si>
  <si>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</si>
  <si>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</si>
  <si>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</si>
  <si>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</si>
  <si>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</si>
  <si>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</si>
  <si>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</si>
  <si>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</si>
  <si>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</si>
  <si>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</si>
  <si>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</si>
  <si>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</si>
  <si>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</si>
  <si>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</si>
  <si>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</si>
  <si>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</si>
  <si>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</si>
  <si>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</si>
  <si>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</si>
  <si>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</si>
  <si>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</si>
  <si>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</si>
  <si>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</si>
  <si>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</si>
  <si>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</si>
  <si>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</si>
  <si>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</si>
  <si>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</si>
  <si>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</si>
  <si>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</si>
  <si>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</si>
  <si>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</si>
  <si>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</si>
  <si>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</si>
  <si>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</si>
  <si>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</si>
  <si>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</si>
  <si>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</si>
  <si>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</si>
  <si>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</si>
  <si>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</si>
  <si>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</si>
  <si>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</si>
  <si>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</si>
  <si>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</si>
  <si>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</si>
  <si>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</si>
  <si>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</si>
  <si>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</si>
  <si>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</si>
  <si>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</si>
  <si>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</si>
  <si>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</si>
  <si>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</si>
  <si>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</si>
  <si>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</si>
  <si>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</si>
  <si>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</si>
  <si>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</si>
  <si>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</si>
  <si>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</si>
  <si>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</si>
  <si>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</si>
  <si>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</si>
  <si>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</si>
  <si>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</si>
  <si>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</si>
  <si>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</si>
  <si>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</si>
  <si>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</si>
  <si>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</si>
  <si>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</si>
  <si>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</si>
  <si>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</si>
  <si>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</si>
  <si>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</si>
  <si>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</si>
  <si>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</si>
  <si>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</si>
  <si>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</si>
  <si>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</si>
  <si>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</si>
  <si>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</si>
  <si>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</si>
  <si>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</si>
  <si>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</si>
  <si>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</si>
  <si>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</si>
  <si>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</si>
  <si>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</si>
  <si>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</si>
  <si>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</si>
  <si>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</si>
  <si>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</si>
  <si>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</si>
  <si>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</si>
  <si>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</si>
  <si>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</si>
  <si>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</si>
  <si>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</si>
  <si>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</si>
  <si>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</si>
  <si>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</si>
  <si>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</si>
  <si>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</si>
  <si>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</si>
  <si>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</si>
  <si>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</si>
  <si>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</si>
  <si>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</si>
  <si>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</si>
  <si>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</si>
  <si>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</si>
  <si>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</si>
  <si>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</si>
  <si>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</si>
  <si>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</si>
  <si>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</si>
  <si>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</si>
  <si>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</si>
  <si>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</si>
  <si>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</si>
  <si>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</si>
  <si>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</si>
  <si>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</si>
  <si>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</si>
  <si>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</si>
  <si>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</si>
  <si>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</si>
  <si>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</si>
  <si>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</si>
  <si>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</si>
  <si>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</si>
  <si>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</si>
  <si>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</si>
  <si>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</si>
  <si>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</si>
  <si>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</si>
  <si>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</si>
  <si>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</si>
  <si>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</si>
  <si>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</si>
  <si>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</si>
  <si>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</si>
  <si>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</si>
  <si>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</si>
  <si>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</si>
  <si>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</si>
  <si>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</si>
  <si>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</si>
  <si>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</si>
  <si>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</si>
  <si>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</si>
  <si>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</si>
  <si>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</si>
  <si>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</si>
  <si>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</si>
  <si>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</si>
  <si>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</si>
  <si>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</si>
  <si>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</si>
  <si>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</si>
  <si>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</si>
  <si>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</si>
  <si>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</si>
  <si>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</si>
  <si>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</si>
  <si>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</si>
  <si>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</si>
  <si>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</si>
  <si>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</si>
  <si>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</si>
  <si>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</si>
  <si>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</si>
  <si>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</si>
  <si>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</si>
  <si>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</si>
  <si>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</si>
  <si>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</si>
  <si>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</si>
  <si>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</si>
  <si>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</si>
  <si>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</si>
  <si>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</si>
  <si>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</si>
  <si>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</si>
  <si>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</si>
  <si>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</si>
  <si>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</si>
  <si>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</si>
  <si>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</si>
  <si>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</si>
  <si>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</si>
  <si>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</si>
  <si>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</si>
  <si>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</si>
  <si>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</si>
  <si>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</si>
  <si>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</si>
  <si>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</si>
  <si>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</si>
  <si>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</si>
  <si>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</si>
  <si>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</si>
  <si>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</si>
  <si>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</si>
  <si>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</si>
  <si>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</si>
  <si>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</si>
  <si>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</si>
  <si>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</si>
  <si>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</si>
  <si>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</si>
  <si>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</si>
  <si>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</si>
  <si>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</si>
  <si>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</si>
  <si>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</si>
  <si>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</si>
  <si>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</si>
  <si>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</si>
  <si>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</si>
  <si>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</si>
  <si>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</si>
  <si>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</si>
  <si>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</si>
  <si>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</si>
  <si>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</si>
  <si>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</si>
  <si>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</si>
  <si>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</si>
  <si>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</si>
  <si>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</si>
  <si>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</si>
  <si>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</si>
  <si>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</si>
  <si>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</si>
  <si>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</si>
  <si>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</si>
  <si>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</si>
  <si>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</si>
  <si>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</si>
  <si>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</si>
  <si>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</si>
  <si>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</si>
  <si>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</si>
  <si>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</si>
  <si>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</si>
  <si>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</si>
  <si>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</si>
  <si>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</si>
  <si>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</si>
  <si>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</si>
  <si>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</si>
  <si>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</si>
  <si>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</si>
  <si>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</si>
  <si>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</si>
  <si>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</si>
  <si>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</si>
  <si>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</si>
  <si>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</si>
  <si>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</si>
  <si>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</si>
  <si>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</si>
  <si>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</si>
  <si>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</si>
  <si>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</si>
  <si>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</si>
  <si>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</si>
  <si>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</si>
  <si>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</si>
  <si>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</si>
  <si>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</si>
  <si>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</si>
  <si>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</si>
  <si>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</si>
  <si>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</si>
  <si>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</si>
  <si>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</si>
  <si>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</si>
  <si>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</si>
  <si>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</si>
  <si>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</si>
  <si>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</si>
  <si>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</si>
  <si>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</si>
  <si>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</si>
  <si>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</si>
  <si>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</si>
  <si>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</si>
  <si>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</si>
  <si>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</si>
  <si>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</si>
  <si>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</si>
  <si>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</si>
  <si>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</si>
  <si>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</si>
  <si>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</si>
  <si>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</si>
  <si>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</si>
  <si>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</si>
  <si>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</si>
  <si>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</si>
  <si>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</si>
  <si>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</si>
  <si>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</si>
  <si>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</si>
  <si>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</si>
  <si>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</si>
  <si>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</si>
  <si>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</si>
  <si>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</si>
  <si>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</si>
  <si>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</si>
  <si>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</si>
  <si>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</si>
  <si>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</si>
  <si>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</si>
  <si>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</si>
  <si>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</si>
  <si>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</si>
  <si>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</si>
  <si>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</si>
  <si>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</si>
  <si>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</si>
  <si>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</si>
  <si>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</si>
  <si>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</si>
  <si>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</si>
  <si>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</si>
  <si>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</si>
  <si>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</si>
  <si>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</si>
  <si>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</si>
  <si>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</si>
  <si>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</si>
  <si>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</si>
  <si>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</si>
  <si>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</si>
  <si>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</si>
  <si>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</si>
  <si>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</si>
  <si>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</si>
  <si>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</si>
  <si>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</si>
  <si>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</si>
  <si>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</si>
  <si>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</si>
  <si>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</si>
  <si>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</si>
  <si>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</si>
  <si>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</si>
  <si>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</si>
  <si>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</si>
  <si>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</si>
  <si>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</si>
  <si>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</si>
  <si>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</si>
  <si>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</si>
  <si>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</si>
  <si>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</si>
  <si>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</si>
  <si>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</si>
  <si>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</si>
  <si>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</si>
  <si>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</si>
  <si>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</si>
  <si>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</si>
  <si>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</si>
  <si>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</si>
  <si>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</si>
  <si>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</si>
  <si>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</si>
  <si>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</si>
  <si>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</si>
  <si>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</si>
  <si>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</si>
  <si>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</si>
  <si>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</si>
  <si>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</si>
  <si>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</si>
  <si>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</si>
  <si>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</si>
  <si>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</si>
  <si>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</si>
  <si>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</si>
  <si>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</si>
  <si>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</si>
  <si>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</si>
  <si>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</si>
  <si>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</si>
  <si>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</si>
  <si>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</si>
  <si>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</si>
  <si>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</si>
  <si>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</si>
  <si>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</si>
  <si>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</si>
  <si>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</si>
  <si>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</si>
  <si>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</si>
  <si>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</si>
  <si>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</si>
  <si>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</si>
  <si>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</si>
  <si>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</si>
  <si>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</si>
  <si>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</si>
  <si>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</si>
  <si>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</si>
  <si>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</si>
  <si>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</si>
  <si>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</si>
  <si>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</si>
  <si>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</si>
  <si>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</si>
  <si>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</si>
  <si>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</si>
  <si>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</si>
  <si>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</si>
  <si>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</si>
  <si>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</si>
  <si>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</si>
  <si>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</si>
  <si>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</si>
  <si>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</si>
  <si>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</si>
  <si>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</si>
  <si>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</si>
  <si>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</si>
  <si>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</si>
  <si>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</si>
  <si>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</si>
  <si>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</si>
  <si>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</si>
  <si>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</si>
  <si>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</si>
  <si>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</si>
  <si>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</si>
  <si>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</si>
  <si>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</si>
  <si>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</si>
  <si>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</si>
  <si>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</si>
  <si>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</si>
  <si>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</si>
  <si>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</si>
  <si>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</si>
  <si>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</si>
  <si>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</si>
  <si>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</si>
  <si>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</si>
  <si>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</si>
  <si>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</si>
  <si>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</si>
  <si>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</si>
  <si>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</si>
  <si>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</si>
  <si>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</si>
  <si>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</si>
  <si>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</si>
  <si>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</si>
  <si>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</si>
  <si>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</si>
  <si>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</si>
  <si>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</si>
  <si>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</si>
  <si>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</si>
  <si>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</si>
  <si>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</si>
  <si>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</si>
  <si>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</si>
  <si>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</si>
  <si>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</si>
  <si>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</si>
  <si>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</si>
  <si>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</si>
  <si>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</si>
  <si>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</si>
  <si>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</si>
  <si>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</si>
  <si>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</si>
  <si>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</si>
  <si>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</si>
  <si>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</si>
  <si>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</si>
  <si>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</si>
  <si>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</si>
  <si>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</si>
  <si>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</si>
  <si>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</si>
  <si>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</si>
  <si>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</si>
  <si>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</si>
  <si>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</si>
  <si>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</si>
  <si>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</si>
  <si>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</si>
  <si>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</si>
  <si>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</si>
  <si>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</si>
  <si>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</si>
  <si>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</si>
  <si>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</si>
  <si>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</si>
  <si>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</si>
  <si>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</si>
  <si>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</si>
  <si>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</si>
  <si>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</si>
  <si>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</si>
  <si>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</si>
  <si>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</si>
  <si>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</si>
  <si>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</si>
  <si>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</si>
  <si>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</si>
  <si>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</si>
  <si>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</si>
  <si>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</si>
  <si>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</si>
  <si>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</si>
  <si>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</si>
  <si>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</si>
  <si>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</si>
  <si>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</si>
  <si>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</si>
  <si>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</si>
  <si>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</si>
  <si>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</si>
  <si>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</si>
  <si>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</si>
  <si>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</si>
  <si>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</si>
  <si>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</si>
  <si>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</si>
  <si>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</si>
  <si>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</si>
  <si>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</si>
  <si>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</si>
  <si>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</si>
  <si>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</si>
  <si>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</si>
  <si>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</si>
  <si>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</si>
  <si>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</si>
  <si>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</si>
  <si>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</si>
  <si>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</si>
  <si>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</si>
  <si>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</si>
  <si>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</si>
  <si>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</si>
  <si>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</si>
  <si>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</si>
  <si>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</si>
  <si>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</si>
  <si>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</si>
  <si>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</si>
  <si>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</si>
  <si>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</si>
  <si>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</si>
  <si>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</si>
  <si>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</si>
  <si>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</si>
  <si>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</si>
  <si>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</si>
  <si>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</si>
  <si>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</si>
  <si>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</si>
  <si>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</si>
  <si>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</si>
  <si>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</si>
  <si>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</si>
  <si>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</si>
  <si>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</si>
  <si>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</si>
  <si>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</si>
  <si>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</si>
  <si>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</si>
  <si>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</si>
  <si>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</si>
  <si>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</si>
  <si>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</si>
  <si>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</si>
  <si>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</si>
  <si>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</si>
  <si>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</si>
  <si>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</si>
  <si>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</si>
  <si>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</si>
  <si>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</si>
  <si>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</si>
  <si>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</si>
  <si>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</si>
  <si>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</si>
  <si>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</si>
  <si>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</si>
  <si>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</si>
  <si>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</si>
  <si>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</si>
  <si>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</si>
  <si>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</si>
  <si>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</si>
  <si>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</si>
  <si>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</si>
  <si>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</si>
  <si>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</si>
  <si>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</si>
  <si>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</si>
  <si>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</si>
  <si>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</si>
  <si>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</si>
  <si>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</si>
  <si>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</si>
  <si>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</si>
  <si>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</si>
  <si>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</si>
  <si>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</si>
  <si>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</si>
  <si>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</si>
  <si>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</si>
  <si>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</si>
  <si>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</si>
  <si>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</si>
  <si>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</si>
  <si>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</si>
  <si>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</si>
  <si>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</si>
  <si>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</si>
  <si>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</si>
  <si>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</si>
  <si>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</si>
  <si>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</si>
  <si>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</si>
  <si>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</si>
  <si>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</si>
  <si>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</si>
  <si>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</si>
  <si>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</si>
  <si>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</si>
  <si>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</si>
  <si>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</si>
  <si>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</si>
  <si>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</si>
  <si>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</si>
  <si>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</si>
  <si>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</si>
  <si>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</si>
  <si>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</si>
  <si>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</si>
  <si>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</si>
  <si>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</si>
  <si>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</si>
  <si>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</si>
  <si>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</si>
  <si>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</si>
  <si>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</si>
  <si>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</si>
  <si>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</si>
  <si>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</si>
  <si>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</si>
  <si>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</si>
  <si>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</si>
  <si>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</si>
  <si>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</si>
  <si>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</si>
  <si>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</si>
  <si>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</si>
  <si>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</si>
  <si>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</si>
  <si>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</si>
  <si>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</si>
  <si>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</si>
  <si>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</si>
  <si>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</si>
  <si>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</si>
  <si>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</si>
  <si>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</si>
  <si>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</si>
  <si>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</si>
  <si>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</si>
  <si>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</si>
  <si>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</si>
  <si>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</si>
  <si>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</si>
  <si>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</si>
  <si>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</si>
  <si>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</si>
  <si>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</si>
  <si>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</si>
  <si>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</si>
  <si>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</si>
  <si>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</si>
  <si>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</si>
  <si>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</si>
  <si>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</si>
  <si>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</si>
  <si>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</si>
  <si>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</si>
  <si>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</si>
  <si>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</si>
  <si>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</si>
  <si>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</si>
  <si>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</si>
  <si>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</si>
  <si>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</si>
  <si>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</si>
  <si>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</si>
  <si>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</si>
  <si>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</si>
  <si>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</si>
  <si>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</si>
  <si>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</si>
  <si>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</si>
  <si>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</si>
  <si>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</si>
  <si>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</si>
  <si>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</si>
  <si>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</si>
  <si>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</si>
  <si>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</si>
  <si>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</si>
  <si>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</si>
  <si>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</si>
  <si>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</si>
  <si>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</si>
  <si>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</si>
  <si>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</si>
  <si>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</si>
  <si>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</si>
  <si>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</si>
  <si>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</si>
  <si>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</si>
  <si>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</si>
  <si>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</si>
  <si>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</si>
  <si>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</si>
  <si>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</si>
  <si>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</si>
  <si>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</si>
  <si>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</si>
  <si>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?tsuchi, Japan</t>
  </si>
  <si>
    <t>M 6.5 - 81 km NE of Hasaki, Japan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</si>
  <si>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</si>
  <si>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</si>
  <si>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</si>
  <si>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</si>
  <si>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</si>
  <si>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</si>
  <si>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</si>
  <si>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</si>
  <si>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</si>
  <si>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</si>
  <si>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</si>
  <si>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</si>
  <si>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</si>
  <si>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</si>
  <si>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</si>
  <si>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</si>
  <si>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</si>
  <si>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</si>
  <si>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</si>
  <si>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</si>
  <si>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</si>
  <si>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</si>
  <si>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</si>
  <si>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</si>
  <si>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</si>
  <si>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</si>
  <si>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</si>
  <si>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</si>
  <si>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</si>
  <si>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</si>
  <si>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</si>
  <si>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</si>
  <si>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</si>
  <si>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</si>
  <si>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</si>
  <si>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</si>
  <si>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</si>
  <si>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</si>
  <si>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</si>
  <si>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</si>
  <si>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</si>
  <si>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</si>
  <si>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</si>
  <si>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</si>
  <si>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</si>
  <si>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</si>
  <si>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</si>
  <si>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</si>
  <si>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</si>
  <si>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</si>
  <si>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</si>
  <si>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</si>
  <si>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</si>
  <si>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</si>
  <si>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</si>
  <si>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</si>
  <si>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</si>
  <si>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</si>
  <si>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</si>
  <si>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</si>
  <si>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</si>
  <si>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</si>
  <si>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</si>
  <si>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</si>
  <si>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</si>
  <si>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</si>
  <si>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</si>
  <si>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</si>
  <si>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</si>
  <si>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</si>
  <si>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</si>
  <si>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</si>
  <si>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</si>
  <si>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</si>
  <si>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</si>
  <si>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</si>
  <si>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</si>
  <si>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</si>
  <si>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</si>
  <si>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</si>
  <si>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</si>
  <si>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</si>
  <si>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</si>
  <si>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</si>
  <si>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</si>
  <si>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</si>
  <si>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</si>
  <si>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</si>
  <si>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</si>
  <si>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</si>
  <si>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</si>
  <si>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</si>
  <si>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</si>
  <si>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</si>
  <si>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</si>
  <si>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</si>
  <si>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</si>
  <si>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</si>
  <si>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</si>
  <si>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</si>
  <si>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</si>
  <si>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</si>
  <si>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</si>
  <si>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</si>
  <si>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</si>
  <si>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</si>
  <si>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</si>
  <si>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</si>
  <si>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</si>
  <si>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</si>
  <si>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</si>
  <si>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</si>
  <si>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</si>
  <si>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</si>
  <si>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</si>
  <si>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</si>
  <si>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</si>
  <si>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</si>
  <si>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</si>
  <si>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</si>
  <si>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</si>
  <si>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</si>
  <si>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</si>
  <si>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</si>
  <si>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</si>
  <si>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</si>
  <si>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</si>
  <si>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</si>
  <si>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</si>
  <si>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</si>
  <si>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</si>
  <si>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</si>
  <si>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</si>
  <si>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</si>
  <si>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</si>
  <si>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</si>
  <si>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</si>
  <si>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</si>
  <si>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</si>
  <si>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</si>
  <si>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</si>
  <si>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</si>
  <si>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</si>
  <si>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</si>
  <si>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</si>
  <si>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</si>
  <si>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</si>
  <si>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</si>
  <si>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</si>
  <si>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</si>
  <si>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</si>
  <si>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</si>
  <si>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</si>
  <si>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</si>
  <si>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</si>
  <si>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</si>
  <si>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</si>
  <si>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</si>
  <si>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</si>
  <si>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</si>
  <si>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</si>
  <si>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</si>
  <si>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</si>
  <si>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</si>
  <si>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</si>
  <si>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</si>
  <si>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</si>
  <si>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</si>
  <si>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</si>
  <si>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</si>
  <si>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</si>
  <si>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</si>
  <si>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</si>
  <si>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</si>
  <si>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</si>
  <si>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</si>
  <si>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</si>
  <si>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</si>
  <si>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</si>
  <si>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</si>
  <si>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</si>
  <si>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</si>
  <si>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</si>
  <si>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</si>
  <si>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</si>
  <si>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</si>
  <si>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</si>
  <si>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</si>
  <si>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</si>
  <si>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</si>
  <si>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</si>
  <si>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</si>
  <si>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</si>
  <si>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</si>
  <si>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</si>
  <si>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</si>
  <si>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</si>
  <si>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</si>
  <si>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</si>
  <si>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</si>
  <si>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</si>
  <si>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</si>
  <si>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</si>
  <si>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</si>
  <si>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</si>
  <si>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</si>
  <si>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</si>
  <si>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</si>
  <si>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</si>
  <si>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</si>
  <si>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</si>
  <si>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</si>
  <si>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</si>
  <si>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</si>
  <si>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</si>
  <si>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</si>
  <si>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</si>
  <si>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</si>
  <si>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</si>
  <si>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</si>
  <si>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</si>
  <si>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</si>
  <si>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</si>
  <si>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</si>
  <si>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</si>
  <si>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</si>
  <si>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</si>
  <si>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</si>
  <si>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</si>
  <si>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</si>
  <si>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</si>
  <si>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</si>
  <si>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</si>
  <si>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</si>
  <si>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</si>
  <si>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</si>
  <si>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</si>
  <si>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</si>
  <si>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</si>
  <si>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</si>
  <si>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</si>
  <si>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</si>
  <si>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</si>
  <si>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</si>
  <si>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</si>
  <si>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</si>
  <si>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</si>
  <si>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</si>
  <si>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</si>
  <si>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</si>
  <si>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</si>
  <si>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</si>
  <si>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</si>
  <si>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</si>
  <si>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</si>
  <si>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</si>
  <si>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</si>
  <si>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</si>
  <si>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</si>
  <si>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</si>
  <si>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</si>
  <si>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</si>
  <si>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</si>
  <si>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</si>
  <si>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</si>
  <si>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</si>
  <si>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</si>
  <si>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</si>
  <si>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</si>
  <si>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</si>
  <si>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</si>
  <si>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</si>
  <si>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</si>
  <si>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</si>
  <si>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</si>
  <si>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</si>
  <si>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</si>
  <si>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</si>
  <si>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</si>
  <si>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</si>
  <si>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</si>
  <si>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</si>
  <si>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</si>
  <si>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</si>
  <si>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</si>
  <si>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</si>
  <si>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</si>
  <si>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</si>
  <si>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</si>
  <si>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</si>
  <si>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</si>
  <si>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</si>
  <si>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</si>
  <si>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</si>
  <si>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</si>
  <si>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</si>
  <si>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</si>
  <si>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</si>
  <si>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</si>
  <si>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</si>
  <si>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</si>
  <si>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</si>
  <si>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</si>
  <si>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</si>
  <si>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</si>
  <si>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</si>
  <si>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</si>
  <si>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</si>
  <si>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</si>
  <si>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</si>
  <si>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</si>
  <si>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</si>
  <si>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</si>
  <si>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</si>
  <si>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</si>
  <si>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</si>
  <si>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</si>
  <si>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</si>
  <si>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</si>
  <si>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</si>
  <si>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</si>
  <si>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</si>
  <si>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</si>
  <si>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</si>
  <si>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</si>
  <si>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</si>
  <si>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</si>
  <si>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</si>
  <si>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</si>
  <si>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</si>
  <si>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</si>
  <si>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</si>
  <si>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</si>
  <si>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</si>
  <si>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</si>
  <si>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</si>
  <si>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</si>
  <si>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</si>
  <si>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</si>
  <si>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</si>
  <si>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</si>
  <si>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</si>
  <si>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</si>
  <si>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</si>
  <si>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</si>
  <si>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</si>
  <si>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</si>
  <si>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</si>
  <si>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</si>
  <si>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</si>
  <si>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</si>
  <si>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</si>
  <si>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</si>
  <si>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</si>
  <si>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</si>
  <si>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</si>
  <si>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</si>
  <si>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</si>
  <si>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</si>
  <si>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</si>
  <si>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</si>
  <si>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</si>
  <si>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</si>
  <si>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</si>
  <si>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</si>
  <si>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</si>
  <si>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</si>
  <si>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</si>
  <si>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</si>
  <si>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</si>
  <si>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</si>
  <si>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</si>
  <si>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</si>
  <si>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</si>
  <si>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</si>
  <si>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</si>
  <si>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</si>
  <si>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</si>
  <si>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</si>
  <si>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</si>
  <si>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</si>
  <si>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</si>
  <si>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</si>
  <si>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</si>
  <si>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</si>
  <si>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</si>
  <si>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</si>
  <si>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</si>
  <si>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</si>
  <si>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</si>
  <si>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</si>
  <si>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</si>
  <si>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</si>
  <si>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</si>
  <si>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</si>
  <si>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</si>
  <si>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</si>
  <si>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</si>
  <si>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</si>
  <si>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</si>
  <si>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</si>
  <si>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</si>
  <si>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</si>
  <si>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</si>
  <si>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</si>
  <si>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</si>
  <si>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</si>
  <si>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</si>
  <si>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</si>
  <si>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</si>
  <si>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</si>
  <si>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</si>
  <si>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</si>
  <si>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</si>
  <si>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</si>
  <si>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</si>
  <si>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</si>
  <si>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</si>
  <si>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</si>
  <si>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</si>
  <si>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</si>
  <si>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</si>
  <si>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</si>
  <si>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</si>
  <si>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</si>
  <si>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</si>
  <si>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</si>
  <si>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</si>
  <si>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</si>
  <si>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</si>
  <si>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</si>
  <si>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</si>
  <si>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</si>
  <si>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</si>
  <si>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</si>
  <si>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</si>
  <si>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</si>
  <si>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</si>
  <si>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</si>
  <si>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</si>
  <si>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</si>
  <si>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</si>
  <si>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</si>
  <si>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</si>
  <si>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</si>
  <si>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</si>
  <si>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</si>
  <si>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</si>
  <si>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</si>
  <si>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</si>
  <si>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</si>
  <si>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</si>
  <si>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</si>
  <si>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</si>
  <si>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</si>
  <si>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</si>
  <si>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</si>
  <si>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</si>
  <si>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</si>
  <si>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</si>
  <si>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</si>
  <si>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</si>
  <si>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</si>
  <si>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</si>
  <si>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</si>
  <si>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</si>
  <si>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</si>
  <si>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</si>
  <si>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</si>
  <si>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</si>
  <si>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</si>
  <si>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</si>
  <si>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</si>
  <si>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</si>
  <si>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</si>
  <si>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</si>
  <si>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</si>
  <si>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</si>
  <si>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</si>
  <si>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</si>
  <si>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</si>
  <si>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</si>
  <si>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</si>
  <si>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</si>
  <si>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</si>
  <si>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</si>
  <si>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</si>
  <si>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</si>
  <si>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</si>
  <si>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</si>
  <si>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</si>
  <si>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</si>
  <si>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</si>
  <si>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</si>
  <si>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</si>
  <si>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</si>
  <si>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</si>
  <si>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</si>
  <si>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</si>
  <si>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</si>
  <si>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</si>
  <si>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</si>
  <si>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</si>
  <si>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</si>
  <si>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</si>
  <si>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</si>
  <si>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</si>
  <si>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</si>
  <si>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</si>
  <si>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</si>
  <si>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</si>
  <si>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</si>
  <si>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</si>
  <si>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</si>
  <si>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</si>
  <si>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</si>
  <si>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</si>
  <si>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</si>
  <si>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</si>
  <si>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</si>
  <si>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</si>
  <si>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</si>
  <si>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</si>
  <si>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</si>
  <si>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</si>
  <si>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</si>
  <si>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</si>
  <si>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</si>
  <si>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</si>
  <si>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</si>
  <si>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</si>
  <si>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</si>
  <si>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</si>
  <si>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</si>
  <si>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</si>
  <si>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</si>
  <si>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</si>
  <si>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</si>
  <si>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</si>
  <si>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</si>
  <si>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</si>
  <si>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</si>
  <si>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</si>
  <si>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</si>
  <si>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</si>
  <si>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</si>
  <si>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</si>
  <si>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</si>
  <si>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</si>
  <si>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</si>
  <si>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</si>
  <si>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</si>
  <si>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</si>
  <si>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</si>
  <si>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</si>
  <si>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</si>
  <si>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</si>
  <si>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</si>
  <si>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</si>
  <si>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</si>
  <si>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</si>
  <si>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</si>
  <si>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</si>
  <si>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</si>
  <si>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</si>
  <si>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</si>
  <si>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</si>
  <si>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</si>
  <si>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</si>
  <si>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</si>
  <si>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</si>
  <si>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</si>
  <si>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</si>
  <si>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</si>
  <si>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</si>
  <si>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</si>
  <si>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</si>
  <si>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</si>
  <si>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</si>
  <si>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</si>
  <si>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</si>
  <si>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</si>
  <si>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</si>
  <si>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</si>
  <si>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</si>
  <si>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</si>
  <si>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</si>
  <si>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</si>
  <si>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</si>
  <si>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</si>
  <si>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</si>
  <si>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</si>
  <si>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</si>
  <si>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</si>
  <si>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</si>
  <si>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</si>
  <si>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</si>
  <si>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</si>
  <si>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</si>
  <si>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</si>
  <si>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</si>
  <si>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</si>
  <si>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</si>
  <si>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</si>
  <si>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</si>
  <si>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</si>
  <si>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</si>
  <si>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</si>
  <si>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</si>
  <si>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</si>
  <si>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</si>
  <si>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</si>
  <si>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</si>
  <si>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</si>
  <si>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</si>
  <si>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</si>
  <si>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</si>
  <si>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</si>
  <si>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</si>
  <si>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</si>
  <si>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</si>
  <si>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</si>
  <si>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</si>
  <si>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</si>
  <si>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</si>
  <si>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</si>
  <si>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</si>
  <si>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</si>
  <si>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</si>
  <si>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</si>
  <si>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</si>
  <si>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</si>
  <si>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</si>
  <si>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</si>
  <si>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</si>
  <si>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</si>
  <si>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</si>
  <si>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</si>
  <si>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</si>
  <si>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</si>
  <si>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</si>
  <si>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</si>
  <si>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</si>
  <si>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</si>
  <si>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</si>
  <si>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</si>
  <si>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</si>
  <si>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</si>
  <si>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</si>
  <si>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</si>
  <si>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</si>
  <si>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</si>
  <si>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</si>
  <si>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</si>
  <si>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</si>
  <si>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</si>
  <si>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</si>
  <si>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</si>
  <si>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</si>
  <si>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</si>
  <si>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</si>
  <si>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</si>
  <si>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</si>
  <si>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</si>
  <si>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</si>
  <si>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</si>
  <si>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</si>
  <si>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</si>
  <si>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</si>
  <si>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</si>
  <si>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</si>
  <si>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</si>
  <si>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</si>
  <si>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</si>
  <si>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</si>
  <si>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</si>
  <si>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</si>
  <si>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</si>
  <si>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</si>
  <si>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</si>
  <si>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</si>
  <si>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</si>
  <si>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</si>
  <si>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</si>
  <si>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</si>
  <si>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</si>
  <si>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</si>
  <si>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</si>
  <si>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</si>
  <si>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</si>
  <si>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</si>
  <si>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</si>
  <si>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</si>
  <si>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</si>
  <si>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</si>
  <si>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</si>
  <si>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</si>
  <si>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</si>
  <si>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</si>
  <si>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</si>
  <si>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</si>
  <si>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</si>
  <si>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</si>
  <si>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</si>
  <si>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</si>
  <si>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</si>
  <si>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</si>
  <si>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</si>
  <si>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</si>
  <si>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</si>
  <si>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</si>
  <si>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</si>
  <si>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EARTHQUAKE DATASET SUMMARY</t>
  </si>
  <si>
    <t>Cell</t>
  </si>
  <si>
    <t>Enter</t>
  </si>
  <si>
    <t>Magnitude check</t>
  </si>
  <si>
    <t>Missing alert values</t>
  </si>
  <si>
    <t>55.1% blank</t>
  </si>
  <si>
    <t>Replace blanks with "Unknown" or another explicit missing category; do not invent alert levels.</t>
  </si>
  <si>
    <t>E2</t>
  </si>
  <si>
    <t>Column</t>
  </si>
  <si>
    <t>Number of Records</t>
  </si>
  <si>
    <t xml:space="preserve">    Count</t>
  </si>
  <si>
    <t>Alert Level</t>
  </si>
  <si>
    <t>Count</t>
  </si>
  <si>
    <t>F2</t>
  </si>
  <si>
    <t>Data Type</t>
  </si>
  <si>
    <t>Blank Magnitude Values</t>
  </si>
  <si>
    <t>E</t>
  </si>
  <si>
    <t>F</t>
  </si>
  <si>
    <t>Minimum Magnitude</t>
  </si>
  <si>
    <t>Text</t>
  </si>
  <si>
    <t>Maximum Magnitude</t>
  </si>
  <si>
    <t>Numeric</t>
  </si>
  <si>
    <t>Average Magnitude</t>
  </si>
  <si>
    <t>Datetime</t>
  </si>
  <si>
    <t>Minimum Depth</t>
  </si>
  <si>
    <t>Maximum Depth</t>
  </si>
  <si>
    <t>Average Depth</t>
  </si>
  <si>
    <t>Categorical</t>
  </si>
  <si>
    <t>Missing Value Check</t>
  </si>
  <si>
    <t>Field</t>
  </si>
  <si>
    <t>Blank Count</t>
  </si>
  <si>
    <t xml:space="preserve">                                                                Blank Percentage</t>
  </si>
  <si>
    <t>Raw date_time check</t>
  </si>
  <si>
    <t>Is date_time text?</t>
  </si>
  <si>
    <t>Title Pattern</t>
  </si>
  <si>
    <t>N km direction of city</t>
  </si>
  <si>
    <t>Named-region</t>
  </si>
  <si>
    <t>Duplicate Rows</t>
  </si>
  <si>
    <t>Data Quality Issue</t>
  </si>
  <si>
    <t>Evidence / Result</t>
  </si>
  <si>
    <t>Lab 4 Fix</t>
  </si>
  <si>
    <t>Replace blanks with Unknown</t>
  </si>
  <si>
    <t>Missing continent values</t>
  </si>
  <si>
    <t>71.6% blank</t>
  </si>
  <si>
    <t>Derive where possible; otherwise Unknown</t>
  </si>
  <si>
    <t>Missing country values</t>
  </si>
  <si>
    <t>34.9% blank</t>
  </si>
  <si>
    <t>Missing location values</t>
  </si>
  <si>
    <t>0.6% blank</t>
  </si>
  <si>
    <t>Recover where possible; otherwise Unknown</t>
  </si>
  <si>
    <t>Mixed title formats</t>
  </si>
  <si>
    <t>870 distance/direction, 130 named-region</t>
  </si>
  <si>
    <t>Handle the two formats separately</t>
  </si>
  <si>
    <t>Inconsistent magType casing</t>
  </si>
  <si>
    <t>Mi → mi</t>
  </si>
  <si>
    <t>Convert magType to lowercase</t>
  </si>
  <si>
    <t>Duplicate events</t>
  </si>
  <si>
    <t>0 duplicate rows</t>
  </si>
  <si>
    <t>Check and remove confirmed duplicates</t>
  </si>
  <si>
    <t>date_time type</t>
  </si>
  <si>
    <t>Excel recognizes it as Date/Time</t>
  </si>
  <si>
    <t>Keep as true Excel datetime</t>
  </si>
  <si>
    <t>Earthquake Data Analysis Dashboard</t>
  </si>
  <si>
    <t>Total Earthquake Records</t>
  </si>
  <si>
    <t>Blank Alert %</t>
  </si>
  <si>
    <t>Annual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</si>
</sst>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/>
  </cellStyleXfs>
  <cellXfs count="1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/>
    <xf numFmtId="164" fontId="0" fillId="0" borderId="0" xfId="1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Percent" xfId="1" builtinId="5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[Dav Lab Assignment 3.xlsx]Analysis!PivotTable1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Analysis!$A$4:$A$13</c:f>
              <c:strCache>
                <c:ptCount val="9"/>
                <c:pt idx="0">
                  <c:v>mb</c:v>
                </c:pt>
                <c:pt idx="1">
                  <c:v>md</c:v>
                </c:pt>
                <c:pt idx="2">
                  <c:v>Mi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Analysis!$B$4:$B$13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8-45DB-8B3A-7D669B94D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701872"/>
        <c:axId val="1292107312"/>
      </c:barChart>
      <c:catAx>
        <c:axId val="139870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07312"/>
        <c:crosses val="autoZero"/>
        <c:auto val="1"/>
        <c:lblAlgn val="ctr"/>
        <c:lblOffset val="100"/>
        <c:noMultiLvlLbl val="0"/>
      </c:catAx>
      <c:valAx>
        <c:axId val="12921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70187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[Dav Lab Assignment 3.xlsx]Alert!PivotTable1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Alert!$B$3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Alert!$A$4:$A$9</c:f>
              <c:strCache>
                <c:ptCount val="5"/>
                <c:pt idx="0">
                  <c:v>green</c:v>
                </c:pt>
                <c:pt idx="1">
                  <c:v>orange</c:v>
                </c:pt>
                <c:pt idx="2">
                  <c:v>red</c:v>
                </c:pt>
                <c:pt idx="3">
                  <c:v>yellow</c:v>
                </c:pt>
                <c:pt idx="4">
                  <c:v>(blank)</c:v>
                </c:pt>
              </c:strCache>
            </c:strRef>
          </c:cat>
          <c:val>
            <c:numRef>
              <c:f>Alert!$B$4:$B$9</c:f>
              <c:numCache>
                <c:formatCode>General</c:formatCode>
                <c:ptCount val="5"/>
                <c:pt idx="0">
                  <c:v>353</c:v>
                </c:pt>
                <c:pt idx="1">
                  <c:v>24</c:v>
                </c:pt>
                <c:pt idx="2">
                  <c:v>13</c:v>
                </c:pt>
                <c:pt idx="3">
                  <c:v>59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9-4C3E-985A-292562E98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503776"/>
        <c:axId val="1292089072"/>
      </c:barChart>
      <c:catAx>
        <c:axId val="130650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89072"/>
        <c:crosses val="autoZero"/>
        <c:auto val="1"/>
        <c:lblAlgn val="ctr"/>
        <c:lblOffset val="100"/>
        <c:noMultiLvlLbl val="0"/>
      </c:catAx>
      <c:valAx>
        <c:axId val="12920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037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[Dav Lab Assignment 3.xlsx]Magtype!PivotTable2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Magtype!$B$3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Magtype!$A$4:$A$13</c:f>
              <c:strCache>
                <c:ptCount val="9"/>
                <c:pt idx="0">
                  <c:v>mb</c:v>
                </c:pt>
                <c:pt idx="1">
                  <c:v>md</c:v>
                </c:pt>
                <c:pt idx="2">
                  <c:v>mi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Magtype!$B$4:$B$13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5-4356-8290-5D51A781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007184"/>
        <c:axId val="1292017072"/>
      </c:barChart>
      <c:catAx>
        <c:axId val="89500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17072"/>
        <c:crosses val="autoZero"/>
        <c:auto val="1"/>
        <c:lblAlgn val="ctr"/>
        <c:lblOffset val="100"/>
        <c:noMultiLvlLbl val="0"/>
      </c:catAx>
      <c:valAx>
        <c:axId val="12920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00718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Earthquake Events by Year</a:t>
            </a:r>
          </a:p>
        </c:rich>
      </c:tx>
      <c:layout>
        <c:manualLayout>
          <c:xMode val="edge"/>
          <c:yMode val="edge"/>
          <c:x val="0.38738055555555556"/>
          <c:y val="5.095679012345678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'Earthquake Events by year'!$B$2</c:f>
              <c:strCache>
                <c:ptCount val="1"/>
                <c:pt idx="0">
                  <c:v>Count of title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'Earthquake Events by year'!$A$3:$A$31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'Earthquake Events by year'!$B$3:$B$31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9-4CB4-AC73-5B850610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4451827160493827"/>
              <c:y val="0.94040000000000001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Earthquakes</a:t>
                </a:r>
              </a:p>
            </c:rich>
          </c:tx>
          <c:layout>
            <c:manualLayout>
              <c:xMode val="edge"/>
              <c:yMode val="edge"/>
              <c:x val="7.8395061728395062E-3"/>
              <c:y val="0.29760339506172834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[Dav Lab Assignment 3.xlsx]Magtype!PivotTable2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Earthquake Events by Magnitude Type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Magtype!$B$3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Magtype!$A$4:$A$13</c:f>
              <c:strCache>
                <c:ptCount val="9"/>
                <c:pt idx="0">
                  <c:v>mb</c:v>
                </c:pt>
                <c:pt idx="1">
                  <c:v>md</c:v>
                </c:pt>
                <c:pt idx="2">
                  <c:v>mi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Magtype!$B$4:$B$13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3-4B6B-92DF-C8A61B524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007184"/>
        <c:axId val="1292017072"/>
      </c:barChart>
      <c:catAx>
        <c:axId val="89500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17072"/>
        <c:crosses val="autoZero"/>
        <c:auto val="1"/>
        <c:lblAlgn val="ctr"/>
        <c:lblOffset val="100"/>
        <c:noMultiLvlLbl val="0"/>
      </c:catAx>
      <c:valAx>
        <c:axId val="12920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00718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[Dav Lab Assignment 3.xlsx]Alert!PivotTable1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strike="noStrike" baseline="0"/>
              <a:t>Alert Level chart</a:t>
            </a:r>
            <a:r>
              <a:rPr lang="en-IN" sz="1400" b="0" i="0" strike="noStrike" baseline="0"/>
              <a:t>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Alert!$B$3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Alert!$A$4:$A$9</c:f>
              <c:strCache>
                <c:ptCount val="5"/>
                <c:pt idx="0">
                  <c:v>green</c:v>
                </c:pt>
                <c:pt idx="1">
                  <c:v>orange</c:v>
                </c:pt>
                <c:pt idx="2">
                  <c:v>red</c:v>
                </c:pt>
                <c:pt idx="3">
                  <c:v>yellow</c:v>
                </c:pt>
                <c:pt idx="4">
                  <c:v>(blank)</c:v>
                </c:pt>
              </c:strCache>
            </c:strRef>
          </c:cat>
          <c:val>
            <c:numRef>
              <c:f>Alert!$B$4:$B$9</c:f>
              <c:numCache>
                <c:formatCode>General</c:formatCode>
                <c:ptCount val="5"/>
                <c:pt idx="0">
                  <c:v>353</c:v>
                </c:pt>
                <c:pt idx="1">
                  <c:v>24</c:v>
                </c:pt>
                <c:pt idx="2">
                  <c:v>13</c:v>
                </c:pt>
                <c:pt idx="3">
                  <c:v>59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7-4AB7-92B2-3DFBF152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503776"/>
        <c:axId val="1292089072"/>
      </c:barChart>
      <c:catAx>
        <c:axId val="130650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89072"/>
        <c:crosses val="autoZero"/>
        <c:auto val="1"/>
        <c:lblAlgn val="ctr"/>
        <c:lblOffset val="100"/>
        <c:noMultiLvlLbl val="0"/>
      </c:catAx>
      <c:valAx>
        <c:axId val="12920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037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Earthquake Events by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'Earthquake Events by year'!$B$2</c:f>
              <c:strCache>
                <c:ptCount val="1"/>
                <c:pt idx="0">
                  <c:v>Count of title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'Earthquake Events by year'!$A$3:$A$31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'Earthquake Events by year'!$B$3:$B$31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2-4FF5-BD5A-7A56E8ECB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Earthquakes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41910</xdr:rowOff>
    </xdr:from>
    <xdr:to>
      <xdr:col>10</xdr:col>
      <xdr:colOff>365760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41910</xdr:rowOff>
    </xdr:from>
    <xdr:to>
      <xdr:col>11</xdr:col>
      <xdr:colOff>571500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7</xdr:row>
      <xdr:rowOff>95250</xdr:rowOff>
    </xdr:from>
    <xdr:to>
      <xdr:col>10</xdr:col>
      <xdr:colOff>525780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8</xdr:row>
      <xdr:rowOff>160020</xdr:rowOff>
    </xdr:from>
    <xdr:to>
      <xdr:col>6</xdr:col>
      <xdr:colOff>91440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198120</xdr:colOff>
      <xdr:row>26</xdr:row>
      <xdr:rowOff>7620</xdr:rowOff>
    </xdr:from>
    <xdr:to>
      <xdr:col>6</xdr:col>
      <xdr:colOff>297180</xdr:colOff>
      <xdr:row>36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43</xdr:row>
      <xdr:rowOff>0</xdr:rowOff>
    </xdr:from>
    <xdr:ext cx="648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vAssignment3" displayName="DavAssignment3" ref="A1:X1001" totalsRowShown="0">
  <autoFilter ref="A1:X1001" xr:uid="{00000000-0009-0000-0100-000001000000}"/>
  <tableColumns count="24">
    <tableColumn id="1" xr3:uid="{00000000-0010-0000-0000-000001000000}" name="title"/>
    <tableColumn id="2" xr3:uid="{00000000-0010-0000-0000-000002000000}" name="magnitude"/>
    <tableColumn id="3" xr3:uid="{00000000-0010-0000-0000-000003000000}" name="date_time" dataDxfId="0"/>
    <tableColumn id="4" xr3:uid="{00000000-0010-0000-0000-000004000000}" name="cdi"/>
    <tableColumn id="5" xr3:uid="{00000000-0010-0000-0000-000005000000}" name="mmi"/>
    <tableColumn id="6" xr3:uid="{00000000-0010-0000-0000-000006000000}" name="alert"/>
    <tableColumn id="7" xr3:uid="{00000000-0010-0000-0000-000007000000}" name="tsunami"/>
    <tableColumn id="8" xr3:uid="{00000000-0010-0000-0000-000008000000}" name="sig"/>
    <tableColumn id="9" xr3:uid="{00000000-0010-0000-0000-000009000000}" name="net"/>
    <tableColumn id="10" xr3:uid="{00000000-0010-0000-0000-00000A000000}" name="nst"/>
    <tableColumn id="11" xr3:uid="{00000000-0010-0000-0000-00000B000000}" name="dmin"/>
    <tableColumn id="12" xr3:uid="{00000000-0010-0000-0000-00000C000000}" name="gap"/>
    <tableColumn id="13" xr3:uid="{00000000-0010-0000-0000-00000D000000}" name="magType"/>
    <tableColumn id="14" xr3:uid="{00000000-0010-0000-0000-00000E000000}" name="depth"/>
    <tableColumn id="15" xr3:uid="{00000000-0010-0000-0000-00000F000000}" name="latitude"/>
    <tableColumn id="16" xr3:uid="{00000000-0010-0000-0000-000010000000}" name="longitude"/>
    <tableColumn id="17" xr3:uid="{00000000-0010-0000-0000-000011000000}" name="location"/>
    <tableColumn id="18" xr3:uid="{00000000-0010-0000-0000-000012000000}" name="continent"/>
    <tableColumn id="19" xr3:uid="{00000000-0010-0000-0000-000013000000}" name="country"/>
    <tableColumn id="20" xr3:uid="{00000000-0010-0000-0000-000014000000}" name="Column1"/>
    <tableColumn id="21" xr3:uid="{00000000-0010-0000-0000-000015000000}" name="title_pattern">
      <calculatedColumnFormula>IF(ISNUMBER(SEARCH("km",A2)),"N km direction of city","Named-region")</calculatedColumnFormula>
    </tableColumn>
    <tableColumn id="22" xr3:uid="{00000000-0010-0000-0000-000016000000}" name="magType_lower">
      <calculatedColumnFormula>LOWER(M2)</calculatedColumnFormula>
    </tableColumn>
    <tableColumn id="23" xr3:uid="{00000000-0010-0000-0000-000017000000}" name="duplicate_flag"/>
    <tableColumn id="24" xr3:uid="{00000000-0010-0000-0000-000018000000}" name="Year">
      <calculatedColumnFormula>YEAR(C2)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3"/>
  <sheetViews>
    <sheetView workbookViewId="0">
      <selection activeCell="A3" sqref="A3:B12"/>
    </sheetView>
  </sheetViews>
  <sheetFormatPr defaultRowHeight="14.4"/>
  <cols>
    <col min="1" max="1" width="12.44140625" bestFit="1" customWidth="1"/>
    <col min="2" max="2" width="15.6640625" bestFit="1" customWidth="1"/>
    <col min="3" max="3" width="13.6640625" bestFit="1" customWidth="1"/>
    <col min="4" max="4" width="11.88671875" bestFit="1" customWidth="1"/>
  </cols>
  <sheetData>
    <row r="3" spans="1:2">
      <c r="A3" s="2" t="s">
        <v>4</v>
      </c>
      <c r="B3" t="s">
        <v>5</v>
      </c>
    </row>
    <row r="4" spans="1:2">
      <c r="A4" s="3" t="s">
        <v>6</v>
      </c>
      <c r="B4">
        <v>4</v>
      </c>
    </row>
    <row r="5" spans="1:2">
      <c r="A5" s="3" t="s">
        <v>7</v>
      </c>
      <c r="B5">
        <v>2</v>
      </c>
    </row>
    <row r="6" spans="1:2">
      <c r="A6" s="3" t="s">
        <v>8</v>
      </c>
      <c r="B6">
        <v>5</v>
      </c>
    </row>
    <row r="7" spans="1:2" ht="23.4" customHeight="1">
      <c r="A7" s="3" t="s">
        <v>9</v>
      </c>
      <c r="B7">
        <v>1</v>
      </c>
    </row>
    <row r="8" spans="1:2">
      <c r="A8" s="3" t="s">
        <v>10</v>
      </c>
      <c r="B8">
        <v>3</v>
      </c>
    </row>
    <row r="9" spans="1:2">
      <c r="A9" s="3" t="s">
        <v>11</v>
      </c>
      <c r="B9">
        <v>51</v>
      </c>
    </row>
    <row r="10" spans="1:2">
      <c r="A10" s="3" t="s">
        <v>12</v>
      </c>
      <c r="B10">
        <v>100</v>
      </c>
    </row>
    <row r="11" spans="1:2">
      <c r="A11" s="3" t="s">
        <v>13</v>
      </c>
      <c r="B11">
        <v>332</v>
      </c>
    </row>
    <row r="12" spans="1:2">
      <c r="A12" s="3" t="s">
        <v>14</v>
      </c>
      <c r="B12">
        <v>502</v>
      </c>
    </row>
    <row r="13" spans="1:2">
      <c r="A13" s="3" t="s">
        <v>3</v>
      </c>
      <c r="B13">
        <v>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9"/>
  <sheetViews>
    <sheetView workbookViewId="0">
      <selection activeCell="A3" sqref="A3:B8"/>
    </sheetView>
  </sheetViews>
  <sheetFormatPr defaultRowHeight="14.4"/>
  <cols>
    <col min="1" max="1" width="12.44140625" bestFit="1" customWidth="1"/>
    <col min="2" max="2" width="11.5546875" bestFit="1" customWidth="1"/>
  </cols>
  <sheetData>
    <row r="3" spans="1:2">
      <c r="A3" s="2" t="s">
        <v>4</v>
      </c>
      <c r="B3" t="s">
        <v>2</v>
      </c>
    </row>
    <row r="4" spans="1:2">
      <c r="A4" s="3" t="s">
        <v>15</v>
      </c>
      <c r="B4">
        <v>353</v>
      </c>
    </row>
    <row r="5" spans="1:2">
      <c r="A5" s="3" t="s">
        <v>16</v>
      </c>
      <c r="B5">
        <v>24</v>
      </c>
    </row>
    <row r="6" spans="1:2">
      <c r="A6" s="3" t="s">
        <v>17</v>
      </c>
      <c r="B6">
        <v>13</v>
      </c>
    </row>
    <row r="7" spans="1:2">
      <c r="A7" s="3" t="s">
        <v>18</v>
      </c>
      <c r="B7">
        <v>59</v>
      </c>
    </row>
    <row r="8" spans="1:2">
      <c r="A8" s="3" t="s">
        <v>19</v>
      </c>
      <c r="B8">
        <v>551</v>
      </c>
    </row>
    <row r="9" spans="1:2">
      <c r="A9" s="3" t="s">
        <v>3</v>
      </c>
      <c r="B9">
        <v>1000</v>
      </c>
    </row>
  </sheetData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3"/>
  <sheetViews>
    <sheetView topLeftCell="A2" workbookViewId="0">
      <selection activeCell="A3" sqref="A3:B12"/>
    </sheetView>
  </sheetViews>
  <sheetFormatPr defaultRowHeight="14.4"/>
  <cols>
    <col min="1" max="1" width="12.44140625" bestFit="1" customWidth="1"/>
    <col min="2" max="2" width="21.109375" bestFit="1" customWidth="1"/>
  </cols>
  <sheetData>
    <row r="3" spans="1:2">
      <c r="A3" s="2" t="s">
        <v>4</v>
      </c>
      <c r="B3" t="s">
        <v>20</v>
      </c>
    </row>
    <row r="4" spans="1:2">
      <c r="A4" s="3" t="s">
        <v>6</v>
      </c>
      <c r="B4">
        <v>4</v>
      </c>
    </row>
    <row r="5" spans="1:2">
      <c r="A5" s="3" t="s">
        <v>7</v>
      </c>
      <c r="B5">
        <v>2</v>
      </c>
    </row>
    <row r="6" spans="1:2">
      <c r="A6" s="3" t="s">
        <v>21</v>
      </c>
      <c r="B6">
        <v>5</v>
      </c>
    </row>
    <row r="7" spans="1:2">
      <c r="A7" s="3" t="s">
        <v>9</v>
      </c>
      <c r="B7">
        <v>1</v>
      </c>
    </row>
    <row r="8" spans="1:2">
      <c r="A8" s="3" t="s">
        <v>10</v>
      </c>
      <c r="B8">
        <v>3</v>
      </c>
    </row>
    <row r="9" spans="1:2">
      <c r="A9" s="3" t="s">
        <v>11</v>
      </c>
      <c r="B9">
        <v>51</v>
      </c>
    </row>
    <row r="10" spans="1:2">
      <c r="A10" s="3" t="s">
        <v>12</v>
      </c>
      <c r="B10">
        <v>100</v>
      </c>
    </row>
    <row r="11" spans="1:2">
      <c r="A11" s="3" t="s">
        <v>13</v>
      </c>
      <c r="B11">
        <v>332</v>
      </c>
    </row>
    <row r="12" spans="1:2">
      <c r="A12" s="3" t="s">
        <v>14</v>
      </c>
      <c r="B12">
        <v>502</v>
      </c>
    </row>
    <row r="13" spans="1:2">
      <c r="A13" s="3" t="s">
        <v>3</v>
      </c>
      <c r="B13">
        <v>1000</v>
      </c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tabSelected="1" workbookViewId="0">
      <selection activeCell="F22" sqref="F22"/>
    </sheetView>
  </sheetViews>
  <sheetFormatPr defaultRowHeight="14.4"/>
  <cols>
    <col min="1" max="1" width="14" bestFit="1" customWidth="1"/>
    <col min="2" max="2" width="18" customWidth="1"/>
  </cols>
  <sheetData>
    <row r="1" spans="1:2">
      <c r="A1" s="12" t="s">
        <v>0</v>
      </c>
    </row>
    <row r="2" spans="1:2">
      <c r="A2" s="12" t="s">
        <v>1</v>
      </c>
      <c r="B2" s="12" t="s">
        <v>2</v>
      </c>
    </row>
    <row r="3" spans="1:2">
      <c r="A3">
        <v>1995</v>
      </c>
      <c r="B3">
        <v>29</v>
      </c>
    </row>
    <row r="4" spans="1:2">
      <c r="A4">
        <v>1996</v>
      </c>
      <c r="B4">
        <v>35</v>
      </c>
    </row>
    <row r="5" spans="1:2">
      <c r="A5">
        <v>1997</v>
      </c>
      <c r="B5">
        <v>28</v>
      </c>
    </row>
    <row r="6" spans="1:2">
      <c r="A6">
        <v>1998</v>
      </c>
      <c r="B6">
        <v>23</v>
      </c>
    </row>
    <row r="7" spans="1:2">
      <c r="A7">
        <v>1999</v>
      </c>
      <c r="B7">
        <v>33</v>
      </c>
    </row>
    <row r="8" spans="1:2">
      <c r="A8">
        <v>2000</v>
      </c>
      <c r="B8">
        <v>35</v>
      </c>
    </row>
    <row r="9" spans="1:2">
      <c r="A9">
        <v>2001</v>
      </c>
      <c r="B9">
        <v>28</v>
      </c>
    </row>
    <row r="10" spans="1:2">
      <c r="A10">
        <v>2002</v>
      </c>
      <c r="B10">
        <v>25</v>
      </c>
    </row>
    <row r="11" spans="1:2">
      <c r="A11">
        <v>2003</v>
      </c>
      <c r="B11">
        <v>31</v>
      </c>
    </row>
    <row r="12" spans="1:2">
      <c r="A12">
        <v>2004</v>
      </c>
      <c r="B12">
        <v>32</v>
      </c>
    </row>
    <row r="13" spans="1:2">
      <c r="A13">
        <v>2005</v>
      </c>
      <c r="B13">
        <v>28</v>
      </c>
    </row>
    <row r="14" spans="1:2">
      <c r="A14">
        <v>2006</v>
      </c>
      <c r="B14">
        <v>26</v>
      </c>
    </row>
    <row r="15" spans="1:2">
      <c r="A15">
        <v>2007</v>
      </c>
      <c r="B15">
        <v>37</v>
      </c>
    </row>
    <row r="16" spans="1:2">
      <c r="A16">
        <v>2008</v>
      </c>
      <c r="B16">
        <v>25</v>
      </c>
    </row>
    <row r="17" spans="1:2">
      <c r="A17">
        <v>2009</v>
      </c>
      <c r="B17">
        <v>26</v>
      </c>
    </row>
    <row r="18" spans="1:2">
      <c r="A18">
        <v>2010</v>
      </c>
      <c r="B18">
        <v>41</v>
      </c>
    </row>
    <row r="19" spans="1:2">
      <c r="A19">
        <v>2011</v>
      </c>
      <c r="B19">
        <v>34</v>
      </c>
    </row>
    <row r="20" spans="1:2">
      <c r="A20">
        <v>2012</v>
      </c>
      <c r="B20">
        <v>31</v>
      </c>
    </row>
    <row r="21" spans="1:2">
      <c r="A21">
        <v>2013</v>
      </c>
      <c r="B21">
        <v>53</v>
      </c>
    </row>
    <row r="22" spans="1:2">
      <c r="A22">
        <v>2014</v>
      </c>
      <c r="B22">
        <v>48</v>
      </c>
    </row>
    <row r="23" spans="1:2">
      <c r="A23">
        <v>2015</v>
      </c>
      <c r="B23">
        <v>53</v>
      </c>
    </row>
    <row r="24" spans="1:2">
      <c r="A24">
        <v>2016</v>
      </c>
      <c r="B24">
        <v>43</v>
      </c>
    </row>
    <row r="25" spans="1:2">
      <c r="A25">
        <v>2017</v>
      </c>
      <c r="B25">
        <v>36</v>
      </c>
    </row>
    <row r="26" spans="1:2">
      <c r="A26">
        <v>2018</v>
      </c>
      <c r="B26">
        <v>43</v>
      </c>
    </row>
    <row r="27" spans="1:2">
      <c r="A27">
        <v>2019</v>
      </c>
      <c r="B27">
        <v>33</v>
      </c>
    </row>
    <row r="28" spans="1:2">
      <c r="A28">
        <v>2020</v>
      </c>
      <c r="B28">
        <v>27</v>
      </c>
    </row>
    <row r="29" spans="1:2">
      <c r="A29">
        <v>2021</v>
      </c>
      <c r="B29">
        <v>42</v>
      </c>
    </row>
    <row r="30" spans="1:2">
      <c r="A30">
        <v>2022</v>
      </c>
      <c r="B30">
        <v>41</v>
      </c>
    </row>
    <row r="31" spans="1:2">
      <c r="A31">
        <v>2023</v>
      </c>
      <c r="B31">
        <v>34</v>
      </c>
    </row>
    <row r="32" spans="1:2">
      <c r="A32" s="12" t="s">
        <v>3</v>
      </c>
      <c r="B32" s="12">
        <v>1000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1"/>
  <sheetViews>
    <sheetView workbookViewId="0">
      <selection activeCell="F16" sqref="F16"/>
    </sheetView>
  </sheetViews>
  <sheetFormatPr defaultRowHeight="14.4"/>
  <cols>
    <col min="2" max="2" width="11.77734375" customWidth="1"/>
    <col min="3" max="3" width="11.33203125" customWidth="1"/>
    <col min="7" max="7" width="9.6640625" customWidth="1"/>
    <col min="13" max="13" width="10.33203125" customWidth="1"/>
    <col min="15" max="15" width="9.44140625" customWidth="1"/>
    <col min="16" max="16" width="10.6640625" customWidth="1"/>
    <col min="17" max="17" width="9.6640625" customWidth="1"/>
    <col min="18" max="18" width="10.77734375" customWidth="1"/>
    <col min="19" max="19" width="19.88671875" customWidth="1"/>
    <col min="20" max="20" width="11.21875" customWidth="1"/>
    <col min="21" max="21" width="17.77734375" customWidth="1"/>
    <col min="22" max="22" width="21.44140625" customWidth="1"/>
    <col min="23" max="23" width="20.88671875" customWidth="1"/>
    <col min="24" max="24" width="17.44140625" customWidth="1"/>
  </cols>
  <sheetData>
    <row r="1" spans="1:24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1</v>
      </c>
    </row>
    <row r="2" spans="1:24">
      <c r="A2" t="s">
        <v>45</v>
      </c>
      <c r="B2">
        <v>6.5</v>
      </c>
      <c r="C2" s="1">
        <v>45154.532638888893</v>
      </c>
      <c r="D2">
        <v>7</v>
      </c>
      <c r="E2">
        <v>4</v>
      </c>
      <c r="F2" t="s">
        <v>15</v>
      </c>
      <c r="G2">
        <v>0</v>
      </c>
      <c r="H2">
        <v>657</v>
      </c>
      <c r="I2" t="s">
        <v>46</v>
      </c>
      <c r="J2">
        <v>114</v>
      </c>
      <c r="K2">
        <v>7.1769999999999996</v>
      </c>
      <c r="L2">
        <v>25</v>
      </c>
      <c r="M2" t="s">
        <v>14</v>
      </c>
      <c r="N2">
        <v>192.95500000000001</v>
      </c>
      <c r="O2">
        <v>-13.881399999999999</v>
      </c>
      <c r="P2">
        <v>167.15799999999999</v>
      </c>
      <c r="Q2" t="s">
        <v>47</v>
      </c>
      <c r="S2" t="s">
        <v>48</v>
      </c>
      <c r="U2" t="str">
        <f t="shared" ref="U2:U65" si="0">IF(ISNUMBER(SEARCH("km",A2)),"N km direction of city","Named-region")</f>
        <v>N km direction of city</v>
      </c>
      <c r="V2" t="str">
        <f t="shared" ref="V2:V65" si="1">LOWER(M2)</f>
        <v>mww</v>
      </c>
      <c r="W2" t="b">
        <f>COUNTIFS($A$2:$A$1001,A2,$C$2:$C$1001,C2)&gt;1</f>
        <v>0</v>
      </c>
      <c r="X2">
        <f t="shared" ref="X2:X65" si="2">YEAR(C2)</f>
        <v>2023</v>
      </c>
    </row>
    <row r="3" spans="1:24">
      <c r="A3" t="s">
        <v>49</v>
      </c>
      <c r="B3">
        <v>6.5</v>
      </c>
      <c r="C3" s="1">
        <v>45126.015277777777</v>
      </c>
      <c r="D3">
        <v>8</v>
      </c>
      <c r="E3">
        <v>6</v>
      </c>
      <c r="F3" t="s">
        <v>18</v>
      </c>
      <c r="G3">
        <v>0</v>
      </c>
      <c r="H3">
        <v>775</v>
      </c>
      <c r="I3" t="s">
        <v>46</v>
      </c>
      <c r="J3">
        <v>92</v>
      </c>
      <c r="K3">
        <v>0.67900000000000005</v>
      </c>
      <c r="L3">
        <v>40</v>
      </c>
      <c r="M3" t="s">
        <v>14</v>
      </c>
      <c r="N3">
        <v>69.727000000000004</v>
      </c>
      <c r="O3">
        <v>12.814</v>
      </c>
      <c r="P3">
        <v>-88.126499999999993</v>
      </c>
      <c r="Q3" t="s">
        <v>50</v>
      </c>
      <c r="U3" t="str">
        <f t="shared" si="0"/>
        <v>N km direction of city</v>
      </c>
      <c r="V3" t="str">
        <f t="shared" si="1"/>
        <v>mww</v>
      </c>
      <c r="X3">
        <f t="shared" si="2"/>
        <v>2023</v>
      </c>
    </row>
    <row r="4" spans="1:24">
      <c r="A4" t="s">
        <v>51</v>
      </c>
      <c r="B4">
        <v>6.6</v>
      </c>
      <c r="C4" s="1">
        <v>45124.128472222219</v>
      </c>
      <c r="D4">
        <v>7</v>
      </c>
      <c r="E4">
        <v>5</v>
      </c>
      <c r="F4" t="s">
        <v>15</v>
      </c>
      <c r="G4">
        <v>0</v>
      </c>
      <c r="H4">
        <v>899</v>
      </c>
      <c r="I4" t="s">
        <v>46</v>
      </c>
      <c r="J4">
        <v>70</v>
      </c>
      <c r="K4">
        <v>1.6339999999999999</v>
      </c>
      <c r="L4">
        <v>28</v>
      </c>
      <c r="M4" t="s">
        <v>14</v>
      </c>
      <c r="N4">
        <v>171.37100000000001</v>
      </c>
      <c r="O4">
        <v>-38.191099999999999</v>
      </c>
      <c r="P4">
        <v>-70.373099999999994</v>
      </c>
      <c r="Q4" t="s">
        <v>52</v>
      </c>
      <c r="R4" t="s">
        <v>53</v>
      </c>
      <c r="S4" t="s">
        <v>54</v>
      </c>
      <c r="U4" t="str">
        <f t="shared" si="0"/>
        <v>N km direction of city</v>
      </c>
      <c r="V4" t="str">
        <f t="shared" si="1"/>
        <v>mww</v>
      </c>
      <c r="X4">
        <f t="shared" si="2"/>
        <v>2023</v>
      </c>
    </row>
    <row r="5" spans="1:24">
      <c r="A5" t="s">
        <v>55</v>
      </c>
      <c r="B5">
        <v>7.2</v>
      </c>
      <c r="C5" s="1">
        <v>45123.283333333333</v>
      </c>
      <c r="D5">
        <v>6</v>
      </c>
      <c r="E5">
        <v>6</v>
      </c>
      <c r="F5" t="s">
        <v>15</v>
      </c>
      <c r="G5">
        <v>1</v>
      </c>
      <c r="H5">
        <v>860</v>
      </c>
      <c r="I5" t="s">
        <v>46</v>
      </c>
      <c r="J5">
        <v>173</v>
      </c>
      <c r="K5">
        <v>0.90700000000000003</v>
      </c>
      <c r="L5">
        <v>36</v>
      </c>
      <c r="M5" t="s">
        <v>14</v>
      </c>
      <c r="N5">
        <v>32.570999999999998</v>
      </c>
      <c r="O5">
        <v>54.384399999999999</v>
      </c>
      <c r="P5">
        <v>-160.69900000000001</v>
      </c>
      <c r="Q5" t="s">
        <v>56</v>
      </c>
      <c r="U5" t="str">
        <f t="shared" si="0"/>
        <v>N km direction of city</v>
      </c>
      <c r="V5" t="str">
        <f t="shared" si="1"/>
        <v>mww</v>
      </c>
      <c r="X5">
        <f t="shared" si="2"/>
        <v>2023</v>
      </c>
    </row>
    <row r="6" spans="1:24">
      <c r="A6" t="s">
        <v>57</v>
      </c>
      <c r="B6">
        <v>7.3</v>
      </c>
      <c r="C6" s="1">
        <v>45123.283333333333</v>
      </c>
      <c r="D6">
        <v>0</v>
      </c>
      <c r="E6">
        <v>5</v>
      </c>
      <c r="G6">
        <v>1</v>
      </c>
      <c r="H6">
        <v>820</v>
      </c>
      <c r="I6" t="s">
        <v>58</v>
      </c>
      <c r="J6">
        <v>79</v>
      </c>
      <c r="K6">
        <v>0.87945099999999998</v>
      </c>
      <c r="L6">
        <v>172.8</v>
      </c>
      <c r="M6" t="s">
        <v>8</v>
      </c>
      <c r="N6">
        <v>21</v>
      </c>
      <c r="O6">
        <v>54.49</v>
      </c>
      <c r="P6">
        <v>-160.79599999999999</v>
      </c>
      <c r="Q6" t="s">
        <v>59</v>
      </c>
      <c r="U6" t="str">
        <f t="shared" si="0"/>
        <v>Named-region</v>
      </c>
      <c r="V6" t="str">
        <f t="shared" si="1"/>
        <v>mi</v>
      </c>
      <c r="X6">
        <f t="shared" si="2"/>
        <v>2023</v>
      </c>
    </row>
    <row r="7" spans="1:24">
      <c r="A7" t="s">
        <v>60</v>
      </c>
      <c r="B7">
        <v>6.6</v>
      </c>
      <c r="C7" s="1">
        <v>45117.852777777778</v>
      </c>
      <c r="D7">
        <v>5</v>
      </c>
      <c r="E7">
        <v>4</v>
      </c>
      <c r="F7" t="s">
        <v>15</v>
      </c>
      <c r="G7">
        <v>1</v>
      </c>
      <c r="H7">
        <v>802</v>
      </c>
      <c r="I7" t="s">
        <v>46</v>
      </c>
      <c r="J7">
        <v>95</v>
      </c>
      <c r="K7">
        <v>2.4540000000000002</v>
      </c>
      <c r="L7">
        <v>37</v>
      </c>
      <c r="M7" t="s">
        <v>14</v>
      </c>
      <c r="N7">
        <v>10</v>
      </c>
      <c r="O7">
        <v>20.019600000000001</v>
      </c>
      <c r="P7">
        <v>-61.095500000000001</v>
      </c>
      <c r="Q7" t="s">
        <v>61</v>
      </c>
      <c r="U7" t="str">
        <f t="shared" si="0"/>
        <v>N km direction of city</v>
      </c>
      <c r="V7" t="str">
        <f t="shared" si="1"/>
        <v>mww</v>
      </c>
      <c r="X7">
        <f t="shared" si="2"/>
        <v>2023</v>
      </c>
    </row>
    <row r="8" spans="1:24">
      <c r="A8" t="s">
        <v>62</v>
      </c>
      <c r="B8">
        <v>6.9</v>
      </c>
      <c r="C8" s="1">
        <v>45109.435416666667</v>
      </c>
      <c r="D8">
        <v>4</v>
      </c>
      <c r="E8">
        <v>4</v>
      </c>
      <c r="F8" t="s">
        <v>15</v>
      </c>
      <c r="G8">
        <v>1</v>
      </c>
      <c r="H8">
        <v>741</v>
      </c>
      <c r="I8" t="s">
        <v>46</v>
      </c>
      <c r="J8">
        <v>136</v>
      </c>
      <c r="K8">
        <v>1.179</v>
      </c>
      <c r="L8">
        <v>23</v>
      </c>
      <c r="M8" t="s">
        <v>14</v>
      </c>
      <c r="N8">
        <v>229</v>
      </c>
      <c r="O8">
        <v>-17.853000000000002</v>
      </c>
      <c r="P8">
        <v>-174.93700000000001</v>
      </c>
      <c r="Q8" t="s">
        <v>63</v>
      </c>
      <c r="U8" t="str">
        <f t="shared" si="0"/>
        <v>Named-region</v>
      </c>
      <c r="V8" t="str">
        <f t="shared" si="1"/>
        <v>mww</v>
      </c>
      <c r="X8">
        <f t="shared" si="2"/>
        <v>2023</v>
      </c>
    </row>
    <row r="9" spans="1:24">
      <c r="A9" t="s">
        <v>64</v>
      </c>
      <c r="B9">
        <v>7.2</v>
      </c>
      <c r="C9" s="1">
        <v>45092.754166666673</v>
      </c>
      <c r="D9">
        <v>8</v>
      </c>
      <c r="E9">
        <v>6</v>
      </c>
      <c r="F9" t="s">
        <v>15</v>
      </c>
      <c r="G9">
        <v>1</v>
      </c>
      <c r="H9">
        <v>804</v>
      </c>
      <c r="I9" t="s">
        <v>46</v>
      </c>
      <c r="J9">
        <v>85</v>
      </c>
      <c r="K9">
        <v>2.59</v>
      </c>
      <c r="L9">
        <v>24</v>
      </c>
      <c r="M9" t="s">
        <v>14</v>
      </c>
      <c r="N9">
        <v>167.404</v>
      </c>
      <c r="O9">
        <v>-22.982399999999998</v>
      </c>
      <c r="P9">
        <v>-177.208</v>
      </c>
      <c r="Q9" t="s">
        <v>65</v>
      </c>
      <c r="U9" t="str">
        <f t="shared" si="0"/>
        <v>Named-region</v>
      </c>
      <c r="V9" t="str">
        <f t="shared" si="1"/>
        <v>mww</v>
      </c>
      <c r="X9">
        <f t="shared" si="2"/>
        <v>2023</v>
      </c>
    </row>
    <row r="10" spans="1:24">
      <c r="A10" t="s">
        <v>66</v>
      </c>
      <c r="B10">
        <v>6.6</v>
      </c>
      <c r="C10" s="1">
        <v>45071.128472222219</v>
      </c>
      <c r="D10">
        <v>6</v>
      </c>
      <c r="E10">
        <v>6</v>
      </c>
      <c r="F10" t="s">
        <v>15</v>
      </c>
      <c r="G10">
        <v>1</v>
      </c>
      <c r="H10">
        <v>733</v>
      </c>
      <c r="I10" t="s">
        <v>46</v>
      </c>
      <c r="J10">
        <v>50</v>
      </c>
      <c r="K10">
        <v>2.1629999999999998</v>
      </c>
      <c r="L10">
        <v>129</v>
      </c>
      <c r="M10" t="s">
        <v>14</v>
      </c>
      <c r="N10">
        <v>10</v>
      </c>
      <c r="O10">
        <v>8.8894000000000002</v>
      </c>
      <c r="P10">
        <v>-77.123099999999994</v>
      </c>
      <c r="Q10" t="s">
        <v>67</v>
      </c>
      <c r="S10" t="s">
        <v>68</v>
      </c>
      <c r="U10" t="str">
        <f t="shared" si="0"/>
        <v>Named-region</v>
      </c>
      <c r="V10" t="str">
        <f t="shared" si="1"/>
        <v>mww</v>
      </c>
      <c r="X10">
        <f t="shared" si="2"/>
        <v>2023</v>
      </c>
    </row>
    <row r="11" spans="1:24">
      <c r="A11" t="s">
        <v>69</v>
      </c>
      <c r="B11">
        <v>7.1</v>
      </c>
      <c r="C11" s="1">
        <v>45066.07708333333</v>
      </c>
      <c r="D11">
        <v>3</v>
      </c>
      <c r="E11">
        <v>4</v>
      </c>
      <c r="F11" t="s">
        <v>15</v>
      </c>
      <c r="G11">
        <v>1</v>
      </c>
      <c r="H11">
        <v>777</v>
      </c>
      <c r="I11" t="s">
        <v>46</v>
      </c>
      <c r="J11">
        <v>98</v>
      </c>
      <c r="K11">
        <v>2.8119999999999998</v>
      </c>
      <c r="L11">
        <v>56</v>
      </c>
      <c r="M11" t="s">
        <v>14</v>
      </c>
      <c r="N11">
        <v>35.981000000000002</v>
      </c>
      <c r="O11">
        <v>-23.062200000000001</v>
      </c>
      <c r="P11">
        <v>170.45599999999999</v>
      </c>
      <c r="Q11" t="s">
        <v>70</v>
      </c>
      <c r="U11" t="str">
        <f t="shared" si="0"/>
        <v>Named-region</v>
      </c>
      <c r="V11" t="str">
        <f t="shared" si="1"/>
        <v>mww</v>
      </c>
      <c r="X11">
        <f t="shared" si="2"/>
        <v>2023</v>
      </c>
    </row>
    <row r="12" spans="1:24">
      <c r="A12" t="s">
        <v>71</v>
      </c>
      <c r="B12">
        <v>7.7</v>
      </c>
      <c r="C12" s="1">
        <v>45065.122916666667</v>
      </c>
      <c r="D12">
        <v>5</v>
      </c>
      <c r="E12">
        <v>4</v>
      </c>
      <c r="F12" t="s">
        <v>15</v>
      </c>
      <c r="G12">
        <v>1</v>
      </c>
      <c r="H12">
        <v>927</v>
      </c>
      <c r="I12" t="s">
        <v>46</v>
      </c>
      <c r="J12">
        <v>277</v>
      </c>
      <c r="K12">
        <v>3.1110000000000002</v>
      </c>
      <c r="L12">
        <v>15</v>
      </c>
      <c r="M12" t="s">
        <v>14</v>
      </c>
      <c r="N12">
        <v>18.027000000000001</v>
      </c>
      <c r="O12">
        <v>-23.2286</v>
      </c>
      <c r="P12">
        <v>170.69399999999999</v>
      </c>
      <c r="Q12" t="s">
        <v>70</v>
      </c>
      <c r="U12" t="str">
        <f t="shared" si="0"/>
        <v>Named-region</v>
      </c>
      <c r="V12" t="str">
        <f t="shared" si="1"/>
        <v>mww</v>
      </c>
      <c r="X12">
        <f t="shared" si="2"/>
        <v>2023</v>
      </c>
    </row>
    <row r="13" spans="1:24">
      <c r="A13" t="s">
        <v>72</v>
      </c>
      <c r="B13">
        <v>7.6</v>
      </c>
      <c r="C13" s="1">
        <v>45056.668055555558</v>
      </c>
      <c r="D13">
        <v>8</v>
      </c>
      <c r="E13">
        <v>6</v>
      </c>
      <c r="F13" t="s">
        <v>15</v>
      </c>
      <c r="G13">
        <v>1</v>
      </c>
      <c r="H13">
        <v>907</v>
      </c>
      <c r="I13" t="s">
        <v>46</v>
      </c>
      <c r="J13">
        <v>111</v>
      </c>
      <c r="K13">
        <v>3.6309999999999998</v>
      </c>
      <c r="L13">
        <v>17</v>
      </c>
      <c r="M13" t="s">
        <v>14</v>
      </c>
      <c r="N13">
        <v>210.09700000000001</v>
      </c>
      <c r="O13">
        <v>-15.600199999999999</v>
      </c>
      <c r="P13">
        <v>-174.608</v>
      </c>
      <c r="Q13" t="s">
        <v>73</v>
      </c>
      <c r="U13" t="str">
        <f t="shared" si="0"/>
        <v>N km direction of city</v>
      </c>
      <c r="V13" t="str">
        <f t="shared" si="1"/>
        <v>mww</v>
      </c>
      <c r="X13">
        <f t="shared" si="2"/>
        <v>2023</v>
      </c>
    </row>
    <row r="14" spans="1:24">
      <c r="A14" t="s">
        <v>74</v>
      </c>
      <c r="B14">
        <v>6.6</v>
      </c>
      <c r="C14" s="1">
        <v>45044.134027777778</v>
      </c>
      <c r="D14">
        <v>0</v>
      </c>
      <c r="E14">
        <v>2</v>
      </c>
      <c r="F14" t="s">
        <v>15</v>
      </c>
      <c r="G14">
        <v>0</v>
      </c>
      <c r="H14">
        <v>670</v>
      </c>
      <c r="I14" t="s">
        <v>46</v>
      </c>
      <c r="J14">
        <v>52</v>
      </c>
      <c r="K14">
        <v>5.1230000000000002</v>
      </c>
      <c r="L14">
        <v>50</v>
      </c>
      <c r="M14" t="s">
        <v>14</v>
      </c>
      <c r="N14">
        <v>598.46699999999998</v>
      </c>
      <c r="O14">
        <v>-25.265699999999999</v>
      </c>
      <c r="P14">
        <v>178.42400000000001</v>
      </c>
      <c r="Q14" t="s">
        <v>65</v>
      </c>
      <c r="U14" t="str">
        <f t="shared" si="0"/>
        <v>Named-region</v>
      </c>
      <c r="V14" t="str">
        <f t="shared" si="1"/>
        <v>mww</v>
      </c>
      <c r="X14">
        <f t="shared" si="2"/>
        <v>2023</v>
      </c>
    </row>
    <row r="15" spans="1:24">
      <c r="A15" t="s">
        <v>75</v>
      </c>
      <c r="B15">
        <v>7.1</v>
      </c>
      <c r="C15" s="1">
        <v>45040.833333333343</v>
      </c>
      <c r="D15">
        <v>9</v>
      </c>
      <c r="E15">
        <v>7</v>
      </c>
      <c r="F15" t="s">
        <v>15</v>
      </c>
      <c r="G15">
        <v>0</v>
      </c>
      <c r="H15">
        <v>838</v>
      </c>
      <c r="I15" t="s">
        <v>46</v>
      </c>
      <c r="J15">
        <v>70</v>
      </c>
      <c r="K15">
        <v>2.282</v>
      </c>
      <c r="L15">
        <v>58</v>
      </c>
      <c r="M15" t="s">
        <v>14</v>
      </c>
      <c r="N15">
        <v>15.462</v>
      </c>
      <c r="O15">
        <v>-0.78100000000000003</v>
      </c>
      <c r="P15">
        <v>98.533900000000003</v>
      </c>
      <c r="Q15" t="s">
        <v>76</v>
      </c>
      <c r="S15" t="s">
        <v>77</v>
      </c>
      <c r="U15" t="str">
        <f t="shared" si="0"/>
        <v>N km direction of city</v>
      </c>
      <c r="V15" t="str">
        <f t="shared" si="1"/>
        <v>mww</v>
      </c>
      <c r="X15">
        <f t="shared" si="2"/>
        <v>2023</v>
      </c>
    </row>
    <row r="16" spans="1:24">
      <c r="A16" t="s">
        <v>78</v>
      </c>
      <c r="B16">
        <v>7.1</v>
      </c>
      <c r="C16" s="1">
        <v>45040.02847222222</v>
      </c>
      <c r="D16">
        <v>8</v>
      </c>
      <c r="E16">
        <v>7</v>
      </c>
      <c r="F16" t="s">
        <v>15</v>
      </c>
      <c r="G16">
        <v>1</v>
      </c>
      <c r="H16">
        <v>777</v>
      </c>
      <c r="I16" t="s">
        <v>46</v>
      </c>
      <c r="J16">
        <v>126</v>
      </c>
      <c r="K16">
        <v>0.70799999999999996</v>
      </c>
      <c r="L16">
        <v>23</v>
      </c>
      <c r="M16" t="s">
        <v>14</v>
      </c>
      <c r="N16">
        <v>43.063000000000002</v>
      </c>
      <c r="O16">
        <v>-30.024899999999999</v>
      </c>
      <c r="P16">
        <v>-177.89699999999999</v>
      </c>
      <c r="Q16" t="s">
        <v>79</v>
      </c>
      <c r="U16" t="str">
        <f t="shared" si="0"/>
        <v>Named-region</v>
      </c>
      <c r="V16" t="str">
        <f t="shared" si="1"/>
        <v>mww</v>
      </c>
      <c r="X16">
        <f t="shared" si="2"/>
        <v>2023</v>
      </c>
    </row>
    <row r="17" spans="1:24">
      <c r="A17" t="s">
        <v>80</v>
      </c>
      <c r="B17">
        <v>6.7</v>
      </c>
      <c r="C17" s="1">
        <v>45034.188194444447</v>
      </c>
      <c r="D17">
        <v>0</v>
      </c>
      <c r="E17">
        <v>3</v>
      </c>
      <c r="F17" t="s">
        <v>15</v>
      </c>
      <c r="G17">
        <v>1</v>
      </c>
      <c r="H17">
        <v>691</v>
      </c>
      <c r="I17" t="s">
        <v>46</v>
      </c>
      <c r="J17">
        <v>166</v>
      </c>
      <c r="K17">
        <v>4.7190000000000003</v>
      </c>
      <c r="L17">
        <v>10</v>
      </c>
      <c r="M17" t="s">
        <v>14</v>
      </c>
      <c r="N17">
        <v>595.85400000000004</v>
      </c>
      <c r="O17">
        <v>-22.284400000000002</v>
      </c>
      <c r="P17">
        <v>179.39099999999999</v>
      </c>
      <c r="Q17" t="s">
        <v>65</v>
      </c>
      <c r="U17" t="str">
        <f t="shared" si="0"/>
        <v>Named-region</v>
      </c>
      <c r="V17" t="str">
        <f t="shared" si="1"/>
        <v>mww</v>
      </c>
      <c r="X17">
        <f t="shared" si="2"/>
        <v>2023</v>
      </c>
    </row>
    <row r="18" spans="1:24">
      <c r="A18" t="s">
        <v>81</v>
      </c>
      <c r="B18">
        <v>7</v>
      </c>
      <c r="C18" s="1">
        <v>45030.413194444453</v>
      </c>
      <c r="D18">
        <v>5</v>
      </c>
      <c r="E18">
        <v>3</v>
      </c>
      <c r="F18" t="s">
        <v>15</v>
      </c>
      <c r="G18">
        <v>0</v>
      </c>
      <c r="H18">
        <v>818</v>
      </c>
      <c r="I18" t="s">
        <v>46</v>
      </c>
      <c r="J18">
        <v>131</v>
      </c>
      <c r="K18">
        <v>1.881</v>
      </c>
      <c r="L18">
        <v>31</v>
      </c>
      <c r="M18" t="s">
        <v>14</v>
      </c>
      <c r="N18">
        <v>594.02800000000002</v>
      </c>
      <c r="O18">
        <v>-6.0255000000000001</v>
      </c>
      <c r="P18">
        <v>112.033</v>
      </c>
      <c r="Q18" t="s">
        <v>82</v>
      </c>
      <c r="S18" t="s">
        <v>77</v>
      </c>
      <c r="U18" t="str">
        <f t="shared" si="0"/>
        <v>N km direction of city</v>
      </c>
      <c r="V18" t="str">
        <f t="shared" si="1"/>
        <v>mww</v>
      </c>
      <c r="X18">
        <f t="shared" si="2"/>
        <v>2023</v>
      </c>
    </row>
    <row r="19" spans="1:24">
      <c r="A19" t="s">
        <v>83</v>
      </c>
      <c r="B19">
        <v>6.5</v>
      </c>
      <c r="C19" s="1">
        <v>45019.129166666673</v>
      </c>
      <c r="D19">
        <v>7</v>
      </c>
      <c r="E19">
        <v>6</v>
      </c>
      <c r="F19" t="s">
        <v>18</v>
      </c>
      <c r="G19">
        <v>1</v>
      </c>
      <c r="H19">
        <v>655</v>
      </c>
      <c r="I19" t="s">
        <v>46</v>
      </c>
      <c r="J19">
        <v>104</v>
      </c>
      <c r="K19">
        <v>0.26600000000000001</v>
      </c>
      <c r="L19">
        <v>30</v>
      </c>
      <c r="M19" t="s">
        <v>14</v>
      </c>
      <c r="N19">
        <v>105.631</v>
      </c>
      <c r="O19">
        <v>52.777200000000001</v>
      </c>
      <c r="P19">
        <v>158.48400000000001</v>
      </c>
      <c r="Q19" t="s">
        <v>84</v>
      </c>
      <c r="R19" t="s">
        <v>85</v>
      </c>
      <c r="S19" t="s">
        <v>86</v>
      </c>
      <c r="U19" t="str">
        <f t="shared" si="0"/>
        <v>Named-region</v>
      </c>
      <c r="V19" t="str">
        <f t="shared" si="1"/>
        <v>mww</v>
      </c>
      <c r="X19">
        <f t="shared" si="2"/>
        <v>2023</v>
      </c>
    </row>
    <row r="20" spans="1:24">
      <c r="A20" t="s">
        <v>87</v>
      </c>
      <c r="B20">
        <v>7</v>
      </c>
      <c r="C20" s="1">
        <v>45018.75277777778</v>
      </c>
      <c r="D20">
        <v>7</v>
      </c>
      <c r="E20">
        <v>7</v>
      </c>
      <c r="F20" t="s">
        <v>15</v>
      </c>
      <c r="G20">
        <v>1</v>
      </c>
      <c r="H20">
        <v>781</v>
      </c>
      <c r="I20" t="s">
        <v>46</v>
      </c>
      <c r="J20">
        <v>105</v>
      </c>
      <c r="K20">
        <v>6.45</v>
      </c>
      <c r="L20">
        <v>31</v>
      </c>
      <c r="M20" t="s">
        <v>14</v>
      </c>
      <c r="N20">
        <v>62.603000000000002</v>
      </c>
      <c r="O20">
        <v>-4.2923999999999998</v>
      </c>
      <c r="P20">
        <v>143.155</v>
      </c>
      <c r="Q20" t="s">
        <v>88</v>
      </c>
      <c r="R20" t="s">
        <v>85</v>
      </c>
      <c r="S20" t="s">
        <v>89</v>
      </c>
      <c r="U20" t="str">
        <f t="shared" si="0"/>
        <v>Named-region</v>
      </c>
      <c r="V20" t="str">
        <f t="shared" si="1"/>
        <v>mww</v>
      </c>
      <c r="X20">
        <f t="shared" si="2"/>
        <v>2023</v>
      </c>
    </row>
    <row r="21" spans="1:24">
      <c r="A21" t="s">
        <v>90</v>
      </c>
      <c r="B21">
        <v>6.5</v>
      </c>
      <c r="C21" s="1">
        <v>45007.666666666657</v>
      </c>
      <c r="D21">
        <v>4</v>
      </c>
      <c r="E21">
        <v>4</v>
      </c>
      <c r="F21" t="s">
        <v>15</v>
      </c>
      <c r="G21">
        <v>0</v>
      </c>
      <c r="H21">
        <v>656</v>
      </c>
      <c r="I21" t="s">
        <v>46</v>
      </c>
      <c r="J21">
        <v>97</v>
      </c>
      <c r="K21">
        <v>1.6220000000000001</v>
      </c>
      <c r="L21">
        <v>33</v>
      </c>
      <c r="M21" t="s">
        <v>14</v>
      </c>
      <c r="N21">
        <v>209.976</v>
      </c>
      <c r="O21">
        <v>-23.479700000000001</v>
      </c>
      <c r="P21">
        <v>-66.510800000000003</v>
      </c>
      <c r="Q21" t="s">
        <v>91</v>
      </c>
      <c r="R21" t="s">
        <v>53</v>
      </c>
      <c r="S21" t="s">
        <v>54</v>
      </c>
      <c r="U21" t="str">
        <f t="shared" si="0"/>
        <v>N km direction of city</v>
      </c>
      <c r="V21" t="str">
        <f t="shared" si="1"/>
        <v>mww</v>
      </c>
      <c r="X21">
        <f t="shared" si="2"/>
        <v>2023</v>
      </c>
    </row>
    <row r="22" spans="1:24">
      <c r="A22" t="s">
        <v>92</v>
      </c>
      <c r="B22">
        <v>6.5</v>
      </c>
      <c r="C22" s="1">
        <v>45006.699305555558</v>
      </c>
      <c r="D22">
        <v>7</v>
      </c>
      <c r="E22">
        <v>5</v>
      </c>
      <c r="F22" t="s">
        <v>15</v>
      </c>
      <c r="G22">
        <v>0</v>
      </c>
      <c r="H22">
        <v>1350</v>
      </c>
      <c r="I22" t="s">
        <v>46</v>
      </c>
      <c r="J22">
        <v>134</v>
      </c>
      <c r="K22">
        <v>2.5299999999999998</v>
      </c>
      <c r="L22">
        <v>13</v>
      </c>
      <c r="M22" t="s">
        <v>14</v>
      </c>
      <c r="N22">
        <v>187.589</v>
      </c>
      <c r="O22">
        <v>36.5227</v>
      </c>
      <c r="P22">
        <v>70.978700000000003</v>
      </c>
      <c r="Q22" t="s">
        <v>93</v>
      </c>
      <c r="R22" t="s">
        <v>85</v>
      </c>
      <c r="S22" t="s">
        <v>94</v>
      </c>
      <c r="U22" t="str">
        <f t="shared" si="0"/>
        <v>N km direction of city</v>
      </c>
      <c r="V22" t="str">
        <f t="shared" si="1"/>
        <v>mww</v>
      </c>
      <c r="X22">
        <f t="shared" si="2"/>
        <v>2023</v>
      </c>
    </row>
    <row r="23" spans="1:24">
      <c r="A23" t="s">
        <v>95</v>
      </c>
      <c r="B23">
        <v>6.8</v>
      </c>
      <c r="C23" s="1">
        <v>45003.716666666667</v>
      </c>
      <c r="D23">
        <v>9</v>
      </c>
      <c r="E23">
        <v>7</v>
      </c>
      <c r="F23" t="s">
        <v>16</v>
      </c>
      <c r="G23">
        <v>1</v>
      </c>
      <c r="H23">
        <v>1159</v>
      </c>
      <c r="I23" t="s">
        <v>46</v>
      </c>
      <c r="J23">
        <v>152</v>
      </c>
      <c r="K23">
        <v>0.70899999999999996</v>
      </c>
      <c r="L23">
        <v>28</v>
      </c>
      <c r="M23" t="s">
        <v>14</v>
      </c>
      <c r="N23">
        <v>65.841999999999999</v>
      </c>
      <c r="O23">
        <v>-2.851</v>
      </c>
      <c r="P23">
        <v>-79.8001</v>
      </c>
      <c r="Q23" t="s">
        <v>96</v>
      </c>
      <c r="R23" t="s">
        <v>53</v>
      </c>
      <c r="S23" t="s">
        <v>96</v>
      </c>
      <c r="U23" t="str">
        <f t="shared" si="0"/>
        <v>Named-region</v>
      </c>
      <c r="V23" t="str">
        <f t="shared" si="1"/>
        <v>mww</v>
      </c>
      <c r="X23">
        <f t="shared" si="2"/>
        <v>2023</v>
      </c>
    </row>
    <row r="24" spans="1:24">
      <c r="A24" t="s">
        <v>97</v>
      </c>
      <c r="B24">
        <v>7</v>
      </c>
      <c r="C24" s="1">
        <v>45001.038888888892</v>
      </c>
      <c r="D24">
        <v>8</v>
      </c>
      <c r="E24">
        <v>5</v>
      </c>
      <c r="F24" t="s">
        <v>15</v>
      </c>
      <c r="G24">
        <v>1</v>
      </c>
      <c r="H24">
        <v>756</v>
      </c>
      <c r="I24" t="s">
        <v>46</v>
      </c>
      <c r="J24">
        <v>116</v>
      </c>
      <c r="K24">
        <v>1.7889999999999999</v>
      </c>
      <c r="L24">
        <v>22</v>
      </c>
      <c r="M24" t="s">
        <v>14</v>
      </c>
      <c r="N24">
        <v>22.065000000000001</v>
      </c>
      <c r="O24">
        <v>-30.114699999999999</v>
      </c>
      <c r="P24">
        <v>-176.11199999999999</v>
      </c>
      <c r="Q24" t="s">
        <v>98</v>
      </c>
      <c r="U24" t="str">
        <f t="shared" si="0"/>
        <v>Named-region</v>
      </c>
      <c r="V24" t="str">
        <f t="shared" si="1"/>
        <v>mww</v>
      </c>
      <c r="X24">
        <f t="shared" si="2"/>
        <v>2023</v>
      </c>
    </row>
    <row r="25" spans="1:24">
      <c r="A25" t="s">
        <v>99</v>
      </c>
      <c r="B25">
        <v>6.9</v>
      </c>
      <c r="C25" s="1">
        <v>44989.27847222222</v>
      </c>
      <c r="D25">
        <v>5</v>
      </c>
      <c r="E25">
        <v>5</v>
      </c>
      <c r="F25" t="s">
        <v>15</v>
      </c>
      <c r="G25">
        <v>1</v>
      </c>
      <c r="H25">
        <v>735</v>
      </c>
      <c r="I25" t="s">
        <v>46</v>
      </c>
      <c r="J25">
        <v>108</v>
      </c>
      <c r="K25">
        <v>0.78400000000000003</v>
      </c>
      <c r="L25">
        <v>18</v>
      </c>
      <c r="M25" t="s">
        <v>14</v>
      </c>
      <c r="N25">
        <v>205.68100000000001</v>
      </c>
      <c r="O25">
        <v>-29.474799999999998</v>
      </c>
      <c r="P25">
        <v>-178.78700000000001</v>
      </c>
      <c r="Q25" t="s">
        <v>79</v>
      </c>
      <c r="U25" t="str">
        <f t="shared" si="0"/>
        <v>Named-region</v>
      </c>
      <c r="V25" t="str">
        <f t="shared" si="1"/>
        <v>mww</v>
      </c>
      <c r="X25">
        <f t="shared" si="2"/>
        <v>2023</v>
      </c>
    </row>
    <row r="26" spans="1:24">
      <c r="A26" t="s">
        <v>100</v>
      </c>
      <c r="B26">
        <v>6.5</v>
      </c>
      <c r="C26" s="1">
        <v>44987.75277777778</v>
      </c>
      <c r="D26">
        <v>7</v>
      </c>
      <c r="E26">
        <v>6</v>
      </c>
      <c r="F26" t="s">
        <v>15</v>
      </c>
      <c r="G26">
        <v>1</v>
      </c>
      <c r="H26">
        <v>653</v>
      </c>
      <c r="I26" t="s">
        <v>46</v>
      </c>
      <c r="J26">
        <v>66</v>
      </c>
      <c r="K26">
        <v>5.4829999999999997</v>
      </c>
      <c r="L26">
        <v>45</v>
      </c>
      <c r="M26" t="s">
        <v>14</v>
      </c>
      <c r="N26">
        <v>10</v>
      </c>
      <c r="O26">
        <v>-15.3597</v>
      </c>
      <c r="P26">
        <v>166.38499999999999</v>
      </c>
      <c r="Q26" t="s">
        <v>101</v>
      </c>
      <c r="U26" t="str">
        <f t="shared" si="0"/>
        <v>N km direction of city</v>
      </c>
      <c r="V26" t="str">
        <f t="shared" si="1"/>
        <v>mww</v>
      </c>
      <c r="X26">
        <f t="shared" si="2"/>
        <v>2023</v>
      </c>
    </row>
    <row r="27" spans="1:24">
      <c r="A27" t="s">
        <v>102</v>
      </c>
      <c r="B27">
        <v>6.5</v>
      </c>
      <c r="C27" s="1">
        <v>44986.23333333333</v>
      </c>
      <c r="D27">
        <v>4</v>
      </c>
      <c r="E27">
        <v>2</v>
      </c>
      <c r="F27" t="s">
        <v>15</v>
      </c>
      <c r="G27">
        <v>1</v>
      </c>
      <c r="H27">
        <v>652</v>
      </c>
      <c r="I27" t="s">
        <v>46</v>
      </c>
      <c r="J27">
        <v>115</v>
      </c>
      <c r="K27">
        <v>2.7389999999999999</v>
      </c>
      <c r="L27">
        <v>20</v>
      </c>
      <c r="M27" t="s">
        <v>14</v>
      </c>
      <c r="N27">
        <v>598.92499999999995</v>
      </c>
      <c r="O27">
        <v>-4.8137999999999996</v>
      </c>
      <c r="P27">
        <v>149.48699999999999</v>
      </c>
      <c r="Q27" t="s">
        <v>103</v>
      </c>
      <c r="S27" t="s">
        <v>89</v>
      </c>
      <c r="U27" t="str">
        <f t="shared" si="0"/>
        <v>N km direction of city</v>
      </c>
      <c r="V27" t="str">
        <f t="shared" si="1"/>
        <v>mww</v>
      </c>
      <c r="X27">
        <f t="shared" si="2"/>
        <v>2023</v>
      </c>
    </row>
    <row r="28" spans="1:24">
      <c r="A28" t="s">
        <v>104</v>
      </c>
      <c r="B28">
        <v>6.8</v>
      </c>
      <c r="C28" s="1">
        <v>44980.025694444441</v>
      </c>
      <c r="D28">
        <v>9</v>
      </c>
      <c r="E28">
        <v>7</v>
      </c>
      <c r="F28" t="s">
        <v>15</v>
      </c>
      <c r="G28">
        <v>0</v>
      </c>
      <c r="H28">
        <v>737</v>
      </c>
      <c r="I28" t="s">
        <v>46</v>
      </c>
      <c r="J28">
        <v>128</v>
      </c>
      <c r="K28">
        <v>1.7829999999999999</v>
      </c>
      <c r="L28">
        <v>20</v>
      </c>
      <c r="M28" t="s">
        <v>14</v>
      </c>
      <c r="N28">
        <v>20.521999999999998</v>
      </c>
      <c r="O28">
        <v>38.072600000000001</v>
      </c>
      <c r="P28">
        <v>73.207700000000003</v>
      </c>
      <c r="Q28" t="s">
        <v>105</v>
      </c>
      <c r="R28" t="s">
        <v>85</v>
      </c>
      <c r="S28" t="s">
        <v>106</v>
      </c>
      <c r="U28" t="str">
        <f t="shared" si="0"/>
        <v>N km direction of city</v>
      </c>
      <c r="V28" t="str">
        <f t="shared" si="1"/>
        <v>mww</v>
      </c>
      <c r="X28">
        <f t="shared" si="2"/>
        <v>2023</v>
      </c>
    </row>
    <row r="29" spans="1:24">
      <c r="A29" t="s">
        <v>107</v>
      </c>
      <c r="B29">
        <v>7.5</v>
      </c>
      <c r="C29" s="1">
        <v>44963.433333333327</v>
      </c>
      <c r="D29">
        <v>9</v>
      </c>
      <c r="E29">
        <v>9</v>
      </c>
      <c r="F29" t="s">
        <v>16</v>
      </c>
      <c r="G29">
        <v>0</v>
      </c>
      <c r="H29">
        <v>1411</v>
      </c>
      <c r="I29" t="s">
        <v>46</v>
      </c>
      <c r="J29">
        <v>135</v>
      </c>
      <c r="K29">
        <v>0.85</v>
      </c>
      <c r="L29">
        <v>17</v>
      </c>
      <c r="M29" t="s">
        <v>14</v>
      </c>
      <c r="N29">
        <v>10</v>
      </c>
      <c r="O29">
        <v>38.023499999999999</v>
      </c>
      <c r="P29">
        <v>37.203000000000003</v>
      </c>
      <c r="Q29" t="s">
        <v>108</v>
      </c>
      <c r="R29" t="s">
        <v>85</v>
      </c>
      <c r="S29" t="s">
        <v>109</v>
      </c>
      <c r="U29" t="str">
        <f t="shared" si="0"/>
        <v>N km direction of city</v>
      </c>
      <c r="V29" t="str">
        <f t="shared" si="1"/>
        <v>mww</v>
      </c>
      <c r="X29">
        <f t="shared" si="2"/>
        <v>2023</v>
      </c>
    </row>
    <row r="30" spans="1:24">
      <c r="A30" t="s">
        <v>110</v>
      </c>
      <c r="B30">
        <v>6.7</v>
      </c>
      <c r="C30" s="1">
        <v>44963.061111111107</v>
      </c>
      <c r="D30">
        <v>9</v>
      </c>
      <c r="E30">
        <v>8</v>
      </c>
      <c r="F30" t="s">
        <v>18</v>
      </c>
      <c r="G30">
        <v>0</v>
      </c>
      <c r="H30">
        <v>800</v>
      </c>
      <c r="I30" t="s">
        <v>46</v>
      </c>
      <c r="J30">
        <v>108</v>
      </c>
      <c r="K30">
        <v>0.218</v>
      </c>
      <c r="L30">
        <v>44</v>
      </c>
      <c r="M30" t="s">
        <v>14</v>
      </c>
      <c r="N30">
        <v>14.497</v>
      </c>
      <c r="O30">
        <v>37.413499999999999</v>
      </c>
      <c r="P30">
        <v>36.830599999999997</v>
      </c>
      <c r="Q30" t="s">
        <v>111</v>
      </c>
      <c r="R30" t="s">
        <v>85</v>
      </c>
      <c r="S30" t="s">
        <v>109</v>
      </c>
      <c r="U30" t="str">
        <f t="shared" si="0"/>
        <v>N km direction of city</v>
      </c>
      <c r="V30" t="str">
        <f t="shared" si="1"/>
        <v>mww</v>
      </c>
      <c r="X30">
        <f t="shared" si="2"/>
        <v>2023</v>
      </c>
    </row>
    <row r="31" spans="1:24">
      <c r="A31" t="s">
        <v>112</v>
      </c>
      <c r="B31">
        <v>7.8</v>
      </c>
      <c r="C31" s="1">
        <v>44963.053472222222</v>
      </c>
      <c r="D31">
        <v>9</v>
      </c>
      <c r="E31">
        <v>9</v>
      </c>
      <c r="F31" t="s">
        <v>17</v>
      </c>
      <c r="G31">
        <v>0</v>
      </c>
      <c r="H31">
        <v>2910</v>
      </c>
      <c r="I31" t="s">
        <v>46</v>
      </c>
      <c r="J31">
        <v>118</v>
      </c>
      <c r="K31">
        <v>1.919</v>
      </c>
      <c r="L31">
        <v>32</v>
      </c>
      <c r="M31" t="s">
        <v>14</v>
      </c>
      <c r="N31">
        <v>17.925000000000001</v>
      </c>
      <c r="O31">
        <v>37.2012</v>
      </c>
      <c r="P31">
        <v>36.999699999999997</v>
      </c>
      <c r="Q31" t="s">
        <v>113</v>
      </c>
      <c r="R31" t="s">
        <v>85</v>
      </c>
      <c r="S31" t="s">
        <v>109</v>
      </c>
      <c r="U31" t="str">
        <f t="shared" si="0"/>
        <v>Named-region</v>
      </c>
      <c r="V31" t="str">
        <f t="shared" si="1"/>
        <v>mww</v>
      </c>
      <c r="X31">
        <f t="shared" si="2"/>
        <v>2023</v>
      </c>
    </row>
    <row r="32" spans="1:24">
      <c r="A32" t="s">
        <v>114</v>
      </c>
      <c r="B32">
        <v>6.8</v>
      </c>
      <c r="C32" s="1">
        <v>44946.92291666667</v>
      </c>
      <c r="D32">
        <v>4</v>
      </c>
      <c r="E32">
        <v>3</v>
      </c>
      <c r="F32" t="s">
        <v>15</v>
      </c>
      <c r="G32">
        <v>0</v>
      </c>
      <c r="H32">
        <v>718</v>
      </c>
      <c r="I32" t="s">
        <v>46</v>
      </c>
      <c r="J32">
        <v>60</v>
      </c>
      <c r="K32">
        <v>5.1289999999999996</v>
      </c>
      <c r="L32">
        <v>61</v>
      </c>
      <c r="M32" t="s">
        <v>14</v>
      </c>
      <c r="N32">
        <v>610.67100000000005</v>
      </c>
      <c r="O32">
        <v>-26.7209</v>
      </c>
      <c r="P32">
        <v>-63.039400000000001</v>
      </c>
      <c r="R32" t="s">
        <v>53</v>
      </c>
      <c r="S32" t="s">
        <v>54</v>
      </c>
      <c r="U32" t="str">
        <f t="shared" si="0"/>
        <v>Named-region</v>
      </c>
      <c r="V32" t="str">
        <f t="shared" si="1"/>
        <v>mww</v>
      </c>
      <c r="X32">
        <f t="shared" si="2"/>
        <v>2023</v>
      </c>
    </row>
    <row r="33" spans="1:24">
      <c r="A33" t="s">
        <v>115</v>
      </c>
      <c r="B33">
        <v>7</v>
      </c>
      <c r="C33" s="1">
        <v>44944.254166666673</v>
      </c>
      <c r="D33">
        <v>3</v>
      </c>
      <c r="E33">
        <v>5</v>
      </c>
      <c r="F33" t="s">
        <v>15</v>
      </c>
      <c r="G33">
        <v>1</v>
      </c>
      <c r="H33">
        <v>756</v>
      </c>
      <c r="I33" t="s">
        <v>46</v>
      </c>
      <c r="J33">
        <v>130</v>
      </c>
      <c r="K33">
        <v>1.974</v>
      </c>
      <c r="L33">
        <v>17</v>
      </c>
      <c r="M33" t="s">
        <v>13</v>
      </c>
      <c r="N33">
        <v>28.565999999999999</v>
      </c>
      <c r="O33">
        <v>2.7401</v>
      </c>
      <c r="P33">
        <v>127.051</v>
      </c>
      <c r="Q33" t="s">
        <v>116</v>
      </c>
      <c r="S33" t="s">
        <v>77</v>
      </c>
      <c r="U33" t="str">
        <f t="shared" si="0"/>
        <v>N km direction of city</v>
      </c>
      <c r="V33" t="str">
        <f t="shared" si="1"/>
        <v>mwc</v>
      </c>
      <c r="X33">
        <f t="shared" si="2"/>
        <v>2023</v>
      </c>
    </row>
    <row r="34" spans="1:24">
      <c r="A34" t="s">
        <v>117</v>
      </c>
      <c r="B34">
        <v>7.6</v>
      </c>
      <c r="C34" s="1">
        <v>44935.740972222222</v>
      </c>
      <c r="D34">
        <v>5</v>
      </c>
      <c r="E34">
        <v>7</v>
      </c>
      <c r="F34" t="s">
        <v>15</v>
      </c>
      <c r="G34">
        <v>0</v>
      </c>
      <c r="H34">
        <v>957</v>
      </c>
      <c r="I34" t="s">
        <v>46</v>
      </c>
      <c r="J34">
        <v>114</v>
      </c>
      <c r="K34">
        <v>1.575</v>
      </c>
      <c r="L34">
        <v>21</v>
      </c>
      <c r="M34" t="s">
        <v>14</v>
      </c>
      <c r="N34">
        <v>105.249</v>
      </c>
      <c r="O34">
        <v>-7.0852000000000004</v>
      </c>
      <c r="P34">
        <v>130.03899999999999</v>
      </c>
      <c r="Q34" t="s">
        <v>118</v>
      </c>
      <c r="S34" t="s">
        <v>77</v>
      </c>
      <c r="U34" t="str">
        <f t="shared" si="0"/>
        <v>Named-region</v>
      </c>
      <c r="V34" t="str">
        <f t="shared" si="1"/>
        <v>mww</v>
      </c>
      <c r="X34">
        <f t="shared" si="2"/>
        <v>2023</v>
      </c>
    </row>
    <row r="35" spans="1:24">
      <c r="A35" t="s">
        <v>119</v>
      </c>
      <c r="B35">
        <v>7</v>
      </c>
      <c r="C35" s="1">
        <v>44934.522222222222</v>
      </c>
      <c r="D35">
        <v>8</v>
      </c>
      <c r="E35">
        <v>7</v>
      </c>
      <c r="F35" t="s">
        <v>15</v>
      </c>
      <c r="G35">
        <v>1</v>
      </c>
      <c r="H35">
        <v>768</v>
      </c>
      <c r="I35" t="s">
        <v>46</v>
      </c>
      <c r="J35">
        <v>116</v>
      </c>
      <c r="K35">
        <v>6.0960000000000001</v>
      </c>
      <c r="L35">
        <v>36</v>
      </c>
      <c r="M35" t="s">
        <v>14</v>
      </c>
      <c r="N35">
        <v>29</v>
      </c>
      <c r="O35">
        <v>-14.9383</v>
      </c>
      <c r="P35">
        <v>166.87799999999999</v>
      </c>
      <c r="Q35" t="s">
        <v>48</v>
      </c>
      <c r="S35" t="s">
        <v>48</v>
      </c>
      <c r="U35" t="str">
        <f t="shared" si="0"/>
        <v>Named-region</v>
      </c>
      <c r="V35" t="str">
        <f t="shared" si="1"/>
        <v>mww</v>
      </c>
      <c r="X35">
        <f t="shared" si="2"/>
        <v>2023</v>
      </c>
    </row>
    <row r="36" spans="1:24">
      <c r="A36" t="s">
        <v>120</v>
      </c>
      <c r="B36">
        <v>6.8</v>
      </c>
      <c r="C36" s="1">
        <v>44899.808333333327</v>
      </c>
      <c r="D36">
        <v>5</v>
      </c>
      <c r="E36">
        <v>5</v>
      </c>
      <c r="F36" t="s">
        <v>15</v>
      </c>
      <c r="G36">
        <v>1</v>
      </c>
      <c r="H36">
        <v>720</v>
      </c>
      <c r="I36" t="s">
        <v>46</v>
      </c>
      <c r="J36">
        <v>152</v>
      </c>
      <c r="K36">
        <v>2.5870000000000002</v>
      </c>
      <c r="L36">
        <v>26</v>
      </c>
      <c r="M36" t="s">
        <v>14</v>
      </c>
      <c r="N36">
        <v>38</v>
      </c>
      <c r="O36">
        <v>-15.398300000000001</v>
      </c>
      <c r="P36">
        <v>-172.96799999999999</v>
      </c>
      <c r="Q36" t="s">
        <v>73</v>
      </c>
      <c r="U36" t="str">
        <f t="shared" si="0"/>
        <v>N km direction of city</v>
      </c>
      <c r="V36" t="str">
        <f t="shared" si="1"/>
        <v>mww</v>
      </c>
      <c r="X36">
        <f t="shared" si="2"/>
        <v>2022</v>
      </c>
    </row>
    <row r="37" spans="1:24">
      <c r="A37" t="s">
        <v>121</v>
      </c>
      <c r="B37">
        <v>7</v>
      </c>
      <c r="C37" s="1">
        <v>44887.085416666669</v>
      </c>
      <c r="D37">
        <v>8</v>
      </c>
      <c r="E37">
        <v>7</v>
      </c>
      <c r="F37" t="s">
        <v>15</v>
      </c>
      <c r="G37">
        <v>1</v>
      </c>
      <c r="H37">
        <v>768</v>
      </c>
      <c r="I37" t="s">
        <v>46</v>
      </c>
      <c r="J37">
        <v>117</v>
      </c>
      <c r="K37">
        <v>0.50900000000000001</v>
      </c>
      <c r="L37">
        <v>17</v>
      </c>
      <c r="M37" t="s">
        <v>14</v>
      </c>
      <c r="N37">
        <v>14</v>
      </c>
      <c r="O37">
        <v>-9.7963000000000005</v>
      </c>
      <c r="P37">
        <v>159.596</v>
      </c>
      <c r="Q37" t="s">
        <v>122</v>
      </c>
      <c r="R37" t="s">
        <v>123</v>
      </c>
      <c r="S37" t="s">
        <v>124</v>
      </c>
      <c r="U37" t="str">
        <f t="shared" si="0"/>
        <v>N km direction of city</v>
      </c>
      <c r="V37" t="str">
        <f t="shared" si="1"/>
        <v>mww</v>
      </c>
      <c r="X37">
        <f t="shared" si="2"/>
        <v>2022</v>
      </c>
    </row>
    <row r="38" spans="1:24">
      <c r="A38" t="s">
        <v>125</v>
      </c>
      <c r="B38">
        <v>6.9</v>
      </c>
      <c r="C38" s="1">
        <v>44883.567361111112</v>
      </c>
      <c r="D38">
        <v>4</v>
      </c>
      <c r="E38">
        <v>4</v>
      </c>
      <c r="F38" t="s">
        <v>15</v>
      </c>
      <c r="G38">
        <v>0</v>
      </c>
      <c r="H38">
        <v>735</v>
      </c>
      <c r="I38" t="s">
        <v>46</v>
      </c>
      <c r="J38">
        <v>99</v>
      </c>
      <c r="K38">
        <v>2.2290000000000001</v>
      </c>
      <c r="L38">
        <v>34</v>
      </c>
      <c r="M38" t="s">
        <v>14</v>
      </c>
      <c r="N38">
        <v>25</v>
      </c>
      <c r="O38">
        <v>-4.9558999999999997</v>
      </c>
      <c r="P38">
        <v>100.738</v>
      </c>
      <c r="Q38" t="s">
        <v>126</v>
      </c>
      <c r="U38" t="str">
        <f t="shared" si="0"/>
        <v>N km direction of city</v>
      </c>
      <c r="V38" t="str">
        <f t="shared" si="1"/>
        <v>mww</v>
      </c>
      <c r="X38">
        <f t="shared" si="2"/>
        <v>2022</v>
      </c>
    </row>
    <row r="39" spans="1:24">
      <c r="A39" t="s">
        <v>127</v>
      </c>
      <c r="B39">
        <v>7</v>
      </c>
      <c r="C39" s="1">
        <v>44877.29791666667</v>
      </c>
      <c r="D39">
        <v>3</v>
      </c>
      <c r="E39">
        <v>3</v>
      </c>
      <c r="F39" t="s">
        <v>15</v>
      </c>
      <c r="G39">
        <v>1</v>
      </c>
      <c r="H39">
        <v>755</v>
      </c>
      <c r="I39" t="s">
        <v>46</v>
      </c>
      <c r="J39">
        <v>147</v>
      </c>
      <c r="K39">
        <v>3.125</v>
      </c>
      <c r="L39">
        <v>18</v>
      </c>
      <c r="M39" t="s">
        <v>14</v>
      </c>
      <c r="N39">
        <v>579</v>
      </c>
      <c r="O39">
        <v>-20.050799999999999</v>
      </c>
      <c r="P39">
        <v>-178.346</v>
      </c>
      <c r="R39" t="s">
        <v>123</v>
      </c>
      <c r="S39" t="s">
        <v>128</v>
      </c>
      <c r="U39" t="str">
        <f t="shared" si="0"/>
        <v>Named-region</v>
      </c>
      <c r="V39" t="str">
        <f t="shared" si="1"/>
        <v>mww</v>
      </c>
      <c r="X39">
        <f t="shared" si="2"/>
        <v>2022</v>
      </c>
    </row>
    <row r="40" spans="1:24">
      <c r="A40" t="s">
        <v>129</v>
      </c>
      <c r="B40">
        <v>7.3</v>
      </c>
      <c r="C40" s="1">
        <v>44876.45</v>
      </c>
      <c r="D40">
        <v>5</v>
      </c>
      <c r="E40">
        <v>5</v>
      </c>
      <c r="F40" t="s">
        <v>15</v>
      </c>
      <c r="G40">
        <v>1</v>
      </c>
      <c r="H40">
        <v>833</v>
      </c>
      <c r="I40" t="s">
        <v>46</v>
      </c>
      <c r="J40">
        <v>149</v>
      </c>
      <c r="K40">
        <v>1.865</v>
      </c>
      <c r="L40">
        <v>21</v>
      </c>
      <c r="M40" t="s">
        <v>14</v>
      </c>
      <c r="N40">
        <v>37</v>
      </c>
      <c r="O40">
        <v>-19.291799999999999</v>
      </c>
      <c r="P40">
        <v>-172.12899999999999</v>
      </c>
      <c r="Q40" t="s">
        <v>130</v>
      </c>
      <c r="U40" t="str">
        <f t="shared" si="0"/>
        <v>N km direction of city</v>
      </c>
      <c r="V40" t="str">
        <f t="shared" si="1"/>
        <v>mww</v>
      </c>
      <c r="X40">
        <f t="shared" si="2"/>
        <v>2022</v>
      </c>
    </row>
    <row r="41" spans="1:24">
      <c r="A41" t="s">
        <v>131</v>
      </c>
      <c r="B41">
        <v>6.6</v>
      </c>
      <c r="C41" s="1">
        <v>44874.426388888889</v>
      </c>
      <c r="D41">
        <v>0</v>
      </c>
      <c r="E41">
        <v>2</v>
      </c>
      <c r="F41" t="s">
        <v>15</v>
      </c>
      <c r="G41">
        <v>1</v>
      </c>
      <c r="H41">
        <v>670</v>
      </c>
      <c r="I41" t="s">
        <v>46</v>
      </c>
      <c r="J41">
        <v>131</v>
      </c>
      <c r="K41">
        <v>4.9980000000000002</v>
      </c>
      <c r="L41">
        <v>27</v>
      </c>
      <c r="M41" t="s">
        <v>14</v>
      </c>
      <c r="N41">
        <v>624.46400000000006</v>
      </c>
      <c r="O41">
        <v>-25.594799999999999</v>
      </c>
      <c r="P41">
        <v>178.27799999999999</v>
      </c>
      <c r="U41" t="str">
        <f t="shared" si="0"/>
        <v>Named-region</v>
      </c>
      <c r="V41" t="str">
        <f t="shared" si="1"/>
        <v>mww</v>
      </c>
      <c r="X41">
        <f t="shared" si="2"/>
        <v>2022</v>
      </c>
    </row>
    <row r="42" spans="1:24">
      <c r="A42" t="s">
        <v>132</v>
      </c>
      <c r="B42">
        <v>7</v>
      </c>
      <c r="C42" s="1">
        <v>44874.410416666673</v>
      </c>
      <c r="D42">
        <v>4</v>
      </c>
      <c r="E42">
        <v>3</v>
      </c>
      <c r="F42" t="s">
        <v>15</v>
      </c>
      <c r="G42">
        <v>1</v>
      </c>
      <c r="H42">
        <v>755</v>
      </c>
      <c r="I42" t="s">
        <v>46</v>
      </c>
      <c r="J42">
        <v>142</v>
      </c>
      <c r="K42">
        <v>4.5780000000000003</v>
      </c>
      <c r="L42">
        <v>26</v>
      </c>
      <c r="M42" t="s">
        <v>12</v>
      </c>
      <c r="N42">
        <v>660</v>
      </c>
      <c r="O42">
        <v>-26.0442</v>
      </c>
      <c r="P42">
        <v>178.381</v>
      </c>
      <c r="Q42" t="s">
        <v>65</v>
      </c>
      <c r="U42" t="str">
        <f t="shared" si="0"/>
        <v>Named-region</v>
      </c>
      <c r="V42" t="str">
        <f t="shared" si="1"/>
        <v>mwb</v>
      </c>
      <c r="X42">
        <f t="shared" si="2"/>
        <v>2022</v>
      </c>
    </row>
    <row r="43" spans="1:24">
      <c r="A43" t="s">
        <v>133</v>
      </c>
      <c r="B43">
        <v>6.8</v>
      </c>
      <c r="C43" s="1">
        <v>44874.401388888888</v>
      </c>
      <c r="D43">
        <v>1</v>
      </c>
      <c r="E43">
        <v>3</v>
      </c>
      <c r="F43" t="s">
        <v>15</v>
      </c>
      <c r="G43">
        <v>1</v>
      </c>
      <c r="H43">
        <v>711</v>
      </c>
      <c r="I43" t="s">
        <v>46</v>
      </c>
      <c r="J43">
        <v>136</v>
      </c>
      <c r="K43">
        <v>4.6779999999999999</v>
      </c>
      <c r="L43">
        <v>22</v>
      </c>
      <c r="M43" t="s">
        <v>14</v>
      </c>
      <c r="N43">
        <v>630.37900000000002</v>
      </c>
      <c r="O43">
        <v>-25.9678</v>
      </c>
      <c r="P43">
        <v>178.363</v>
      </c>
      <c r="Q43" t="s">
        <v>65</v>
      </c>
      <c r="U43" t="str">
        <f t="shared" si="0"/>
        <v>Named-region</v>
      </c>
      <c r="V43" t="str">
        <f t="shared" si="1"/>
        <v>mww</v>
      </c>
      <c r="X43">
        <f t="shared" si="2"/>
        <v>2022</v>
      </c>
    </row>
    <row r="44" spans="1:24">
      <c r="A44" t="s">
        <v>134</v>
      </c>
      <c r="B44">
        <v>6.7</v>
      </c>
      <c r="C44" s="1">
        <v>44854.497916666667</v>
      </c>
      <c r="D44">
        <v>7</v>
      </c>
      <c r="E44">
        <v>6</v>
      </c>
      <c r="F44" t="s">
        <v>15</v>
      </c>
      <c r="G44">
        <v>1</v>
      </c>
      <c r="H44">
        <v>797</v>
      </c>
      <c r="I44" t="s">
        <v>46</v>
      </c>
      <c r="J44">
        <v>145</v>
      </c>
      <c r="K44">
        <v>1.151</v>
      </c>
      <c r="L44">
        <v>37</v>
      </c>
      <c r="M44" t="s">
        <v>14</v>
      </c>
      <c r="N44">
        <v>20</v>
      </c>
      <c r="O44">
        <v>7.6711999999999998</v>
      </c>
      <c r="P44">
        <v>-82.339600000000004</v>
      </c>
      <c r="Q44" t="s">
        <v>135</v>
      </c>
      <c r="S44" t="s">
        <v>136</v>
      </c>
      <c r="U44" t="str">
        <f t="shared" si="0"/>
        <v>N km direction of city</v>
      </c>
      <c r="V44" t="str">
        <f t="shared" si="1"/>
        <v>mww</v>
      </c>
      <c r="X44">
        <f t="shared" si="2"/>
        <v>2022</v>
      </c>
    </row>
    <row r="45" spans="1:24">
      <c r="A45" t="s">
        <v>137</v>
      </c>
      <c r="B45">
        <v>6.8</v>
      </c>
      <c r="C45" s="1">
        <v>44826.261111111111</v>
      </c>
      <c r="D45">
        <v>8</v>
      </c>
      <c r="E45">
        <v>7</v>
      </c>
      <c r="F45" t="s">
        <v>18</v>
      </c>
      <c r="G45">
        <v>1</v>
      </c>
      <c r="H45">
        <v>1179</v>
      </c>
      <c r="I45" t="s">
        <v>46</v>
      </c>
      <c r="J45">
        <v>175</v>
      </c>
      <c r="K45">
        <v>2.137</v>
      </c>
      <c r="L45">
        <v>92</v>
      </c>
      <c r="M45" t="s">
        <v>14</v>
      </c>
      <c r="N45">
        <v>20</v>
      </c>
      <c r="O45">
        <v>18.329999999999998</v>
      </c>
      <c r="P45">
        <v>-102.913</v>
      </c>
      <c r="Q45" t="s">
        <v>138</v>
      </c>
      <c r="R45" t="s">
        <v>139</v>
      </c>
      <c r="S45" t="s">
        <v>140</v>
      </c>
      <c r="U45" t="str">
        <f t="shared" si="0"/>
        <v>N km direction of city</v>
      </c>
      <c r="V45" t="str">
        <f t="shared" si="1"/>
        <v>mww</v>
      </c>
      <c r="X45">
        <f t="shared" si="2"/>
        <v>2022</v>
      </c>
    </row>
    <row r="46" spans="1:24">
      <c r="A46" t="s">
        <v>141</v>
      </c>
      <c r="B46">
        <v>7.6</v>
      </c>
      <c r="C46" s="1">
        <v>44823.753472222219</v>
      </c>
      <c r="D46">
        <v>9</v>
      </c>
      <c r="E46">
        <v>8</v>
      </c>
      <c r="F46" t="s">
        <v>18</v>
      </c>
      <c r="G46">
        <v>1</v>
      </c>
      <c r="H46">
        <v>1799</v>
      </c>
      <c r="I46" t="s">
        <v>46</v>
      </c>
      <c r="J46">
        <v>271</v>
      </c>
      <c r="K46">
        <v>1.153</v>
      </c>
      <c r="L46">
        <v>69</v>
      </c>
      <c r="M46" t="s">
        <v>14</v>
      </c>
      <c r="N46">
        <v>26.943000000000001</v>
      </c>
      <c r="O46">
        <v>18.366700000000002</v>
      </c>
      <c r="P46">
        <v>-103.252</v>
      </c>
      <c r="Q46" t="s">
        <v>138</v>
      </c>
      <c r="R46" t="s">
        <v>139</v>
      </c>
      <c r="S46" t="s">
        <v>140</v>
      </c>
      <c r="U46" t="str">
        <f t="shared" si="0"/>
        <v>N km direction of city</v>
      </c>
      <c r="V46" t="str">
        <f t="shared" si="1"/>
        <v>mww</v>
      </c>
      <c r="X46">
        <f t="shared" si="2"/>
        <v>2022</v>
      </c>
    </row>
    <row r="47" spans="1:24">
      <c r="A47" t="s">
        <v>142</v>
      </c>
      <c r="B47">
        <v>6.9</v>
      </c>
      <c r="C47" s="1">
        <v>44822.280555555553</v>
      </c>
      <c r="D47">
        <v>9</v>
      </c>
      <c r="E47">
        <v>9</v>
      </c>
      <c r="F47" t="s">
        <v>18</v>
      </c>
      <c r="G47">
        <v>1</v>
      </c>
      <c r="H47">
        <v>887</v>
      </c>
      <c r="I47" t="s">
        <v>46</v>
      </c>
      <c r="J47">
        <v>215</v>
      </c>
      <c r="K47">
        <v>0.40100000000000002</v>
      </c>
      <c r="L47">
        <v>34</v>
      </c>
      <c r="M47" t="s">
        <v>14</v>
      </c>
      <c r="N47">
        <v>10</v>
      </c>
      <c r="O47">
        <v>23.144400000000001</v>
      </c>
      <c r="P47">
        <v>121.307</v>
      </c>
      <c r="Q47" t="s">
        <v>143</v>
      </c>
      <c r="R47" t="s">
        <v>85</v>
      </c>
      <c r="S47" t="s">
        <v>144</v>
      </c>
      <c r="U47" t="str">
        <f t="shared" si="0"/>
        <v>N km direction of city</v>
      </c>
      <c r="V47" t="str">
        <f t="shared" si="1"/>
        <v>mww</v>
      </c>
      <c r="X47">
        <f t="shared" si="2"/>
        <v>2022</v>
      </c>
    </row>
    <row r="48" spans="1:24">
      <c r="A48" t="s">
        <v>145</v>
      </c>
      <c r="B48">
        <v>6.5</v>
      </c>
      <c r="C48" s="1">
        <v>44821.570138888892</v>
      </c>
      <c r="D48">
        <v>7</v>
      </c>
      <c r="E48">
        <v>7</v>
      </c>
      <c r="F48" t="s">
        <v>15</v>
      </c>
      <c r="G48">
        <v>1</v>
      </c>
      <c r="H48">
        <v>756</v>
      </c>
      <c r="I48" t="s">
        <v>46</v>
      </c>
      <c r="J48">
        <v>178</v>
      </c>
      <c r="K48">
        <v>0.43</v>
      </c>
      <c r="L48">
        <v>54</v>
      </c>
      <c r="M48" t="s">
        <v>14</v>
      </c>
      <c r="N48">
        <v>10</v>
      </c>
      <c r="O48">
        <v>23.029</v>
      </c>
      <c r="P48">
        <v>121.348</v>
      </c>
      <c r="Q48" t="s">
        <v>146</v>
      </c>
      <c r="R48" t="s">
        <v>85</v>
      </c>
      <c r="S48" t="s">
        <v>144</v>
      </c>
      <c r="U48" t="str">
        <f t="shared" si="0"/>
        <v>N km direction of city</v>
      </c>
      <c r="V48" t="str">
        <f t="shared" si="1"/>
        <v>mww</v>
      </c>
      <c r="X48">
        <f t="shared" si="2"/>
        <v>2022</v>
      </c>
    </row>
    <row r="49" spans="1:24">
      <c r="A49" t="s">
        <v>147</v>
      </c>
      <c r="B49">
        <v>7</v>
      </c>
      <c r="C49" s="1">
        <v>44818.461111111108</v>
      </c>
      <c r="D49">
        <v>7</v>
      </c>
      <c r="E49">
        <v>5</v>
      </c>
      <c r="F49" t="s">
        <v>15</v>
      </c>
      <c r="G49">
        <v>1</v>
      </c>
      <c r="H49">
        <v>761</v>
      </c>
      <c r="I49" t="s">
        <v>46</v>
      </c>
      <c r="J49">
        <v>192</v>
      </c>
      <c r="K49">
        <v>2.9769999999999999</v>
      </c>
      <c r="L49">
        <v>45</v>
      </c>
      <c r="M49" t="s">
        <v>14</v>
      </c>
      <c r="N49">
        <v>137</v>
      </c>
      <c r="O49">
        <v>-21.207699999999999</v>
      </c>
      <c r="P49">
        <v>170.239</v>
      </c>
      <c r="Q49" t="s">
        <v>148</v>
      </c>
      <c r="U49" t="str">
        <f t="shared" si="0"/>
        <v>N km direction of city</v>
      </c>
      <c r="V49" t="str">
        <f t="shared" si="1"/>
        <v>mww</v>
      </c>
      <c r="X49">
        <f t="shared" si="2"/>
        <v>2022</v>
      </c>
    </row>
    <row r="50" spans="1:24">
      <c r="A50" t="s">
        <v>149</v>
      </c>
      <c r="B50">
        <v>7.6</v>
      </c>
      <c r="C50" s="1">
        <v>44814.990972222222</v>
      </c>
      <c r="D50">
        <v>8</v>
      </c>
      <c r="E50">
        <v>8</v>
      </c>
      <c r="F50" t="s">
        <v>18</v>
      </c>
      <c r="G50">
        <v>1</v>
      </c>
      <c r="H50">
        <v>965</v>
      </c>
      <c r="I50" t="s">
        <v>46</v>
      </c>
      <c r="J50">
        <v>272</v>
      </c>
      <c r="K50">
        <v>3.1579999999999999</v>
      </c>
      <c r="L50">
        <v>12</v>
      </c>
      <c r="M50" t="s">
        <v>14</v>
      </c>
      <c r="N50">
        <v>116</v>
      </c>
      <c r="O50">
        <v>-6.2237</v>
      </c>
      <c r="P50">
        <v>146.471</v>
      </c>
      <c r="Q50" t="s">
        <v>150</v>
      </c>
      <c r="R50" t="s">
        <v>123</v>
      </c>
      <c r="S50" t="s">
        <v>89</v>
      </c>
      <c r="U50" t="str">
        <f t="shared" si="0"/>
        <v>N km direction of city</v>
      </c>
      <c r="V50" t="str">
        <f t="shared" si="1"/>
        <v>mww</v>
      </c>
      <c r="X50">
        <f t="shared" si="2"/>
        <v>2022</v>
      </c>
    </row>
    <row r="51" spans="1:24">
      <c r="A51" t="s">
        <v>151</v>
      </c>
      <c r="B51">
        <v>6.6</v>
      </c>
      <c r="C51" s="1">
        <v>44809.202777777777</v>
      </c>
      <c r="D51">
        <v>9</v>
      </c>
      <c r="E51">
        <v>8</v>
      </c>
      <c r="F51" t="s">
        <v>16</v>
      </c>
      <c r="G51">
        <v>0</v>
      </c>
      <c r="H51">
        <v>1043</v>
      </c>
      <c r="I51" t="s">
        <v>46</v>
      </c>
      <c r="J51">
        <v>141</v>
      </c>
      <c r="K51">
        <v>8.4540000000000006</v>
      </c>
      <c r="L51">
        <v>34</v>
      </c>
      <c r="M51" t="s">
        <v>14</v>
      </c>
      <c r="N51">
        <v>12</v>
      </c>
      <c r="O51">
        <v>29.726299999999998</v>
      </c>
      <c r="P51">
        <v>102.279</v>
      </c>
      <c r="Q51" t="s">
        <v>152</v>
      </c>
      <c r="R51" t="s">
        <v>85</v>
      </c>
      <c r="S51" t="s">
        <v>153</v>
      </c>
      <c r="U51" t="str">
        <f t="shared" si="0"/>
        <v>N km direction of city</v>
      </c>
      <c r="V51" t="str">
        <f t="shared" si="1"/>
        <v>mww</v>
      </c>
      <c r="X51">
        <f t="shared" si="2"/>
        <v>2022</v>
      </c>
    </row>
    <row r="52" spans="1:24">
      <c r="A52" t="s">
        <v>154</v>
      </c>
      <c r="B52">
        <v>6.6</v>
      </c>
      <c r="C52" s="1">
        <v>44787.572222222218</v>
      </c>
      <c r="D52">
        <v>7</v>
      </c>
      <c r="E52">
        <v>6</v>
      </c>
      <c r="F52" t="s">
        <v>15</v>
      </c>
      <c r="G52">
        <v>1</v>
      </c>
      <c r="H52">
        <v>672</v>
      </c>
      <c r="I52" t="s">
        <v>46</v>
      </c>
      <c r="J52">
        <v>68</v>
      </c>
      <c r="K52">
        <v>5.2930000000000001</v>
      </c>
      <c r="L52">
        <v>34</v>
      </c>
      <c r="M52" t="s">
        <v>14</v>
      </c>
      <c r="N52">
        <v>30</v>
      </c>
      <c r="O52">
        <v>-32.6922</v>
      </c>
      <c r="P52">
        <v>-178.959</v>
      </c>
      <c r="Q52" t="s">
        <v>155</v>
      </c>
      <c r="U52" t="str">
        <f t="shared" si="0"/>
        <v>Named-region</v>
      </c>
      <c r="V52" t="str">
        <f t="shared" si="1"/>
        <v>mww</v>
      </c>
      <c r="X52">
        <f t="shared" si="2"/>
        <v>2022</v>
      </c>
    </row>
    <row r="53" spans="1:24">
      <c r="A53" t="s">
        <v>156</v>
      </c>
      <c r="B53">
        <v>7</v>
      </c>
      <c r="C53" s="1">
        <v>44769.029861111107</v>
      </c>
      <c r="D53">
        <v>9</v>
      </c>
      <c r="E53">
        <v>8</v>
      </c>
      <c r="F53" t="s">
        <v>18</v>
      </c>
      <c r="G53">
        <v>1</v>
      </c>
      <c r="H53">
        <v>1351</v>
      </c>
      <c r="I53" t="s">
        <v>46</v>
      </c>
      <c r="J53">
        <v>152</v>
      </c>
      <c r="K53">
        <v>5.2759999999999998</v>
      </c>
      <c r="L53">
        <v>22</v>
      </c>
      <c r="M53" t="s">
        <v>14</v>
      </c>
      <c r="N53">
        <v>33.728999999999999</v>
      </c>
      <c r="O53">
        <v>17.597799999999999</v>
      </c>
      <c r="P53">
        <v>120.809</v>
      </c>
      <c r="Q53" t="s">
        <v>157</v>
      </c>
      <c r="R53" t="s">
        <v>85</v>
      </c>
      <c r="S53" t="s">
        <v>158</v>
      </c>
      <c r="U53" t="str">
        <f t="shared" si="0"/>
        <v>N km direction of city</v>
      </c>
      <c r="V53" t="str">
        <f t="shared" si="1"/>
        <v>mww</v>
      </c>
      <c r="X53">
        <f t="shared" si="2"/>
        <v>2022</v>
      </c>
    </row>
    <row r="54" spans="1:24">
      <c r="A54" t="s">
        <v>159</v>
      </c>
      <c r="B54">
        <v>6.5</v>
      </c>
      <c r="C54" s="1">
        <v>44720.038194444453</v>
      </c>
      <c r="D54">
        <v>3</v>
      </c>
      <c r="E54">
        <v>2</v>
      </c>
      <c r="F54" t="s">
        <v>15</v>
      </c>
      <c r="G54">
        <v>0</v>
      </c>
      <c r="H54">
        <v>653</v>
      </c>
      <c r="I54" t="s">
        <v>46</v>
      </c>
      <c r="J54">
        <v>236</v>
      </c>
      <c r="K54">
        <v>1.9990000000000001</v>
      </c>
      <c r="L54">
        <v>31</v>
      </c>
      <c r="M54" t="s">
        <v>14</v>
      </c>
      <c r="N54">
        <v>622.73</v>
      </c>
      <c r="O54">
        <v>-9.0617999999999999</v>
      </c>
      <c r="P54">
        <v>-71.164699999999996</v>
      </c>
      <c r="Q54" t="s">
        <v>160</v>
      </c>
      <c r="R54" t="s">
        <v>53</v>
      </c>
      <c r="S54" t="s">
        <v>161</v>
      </c>
      <c r="U54" t="str">
        <f t="shared" si="0"/>
        <v>N km direction of city</v>
      </c>
      <c r="V54" t="str">
        <f t="shared" si="1"/>
        <v>mww</v>
      </c>
      <c r="X54">
        <f t="shared" si="2"/>
        <v>2022</v>
      </c>
    </row>
    <row r="55" spans="1:24">
      <c r="A55" t="s">
        <v>162</v>
      </c>
      <c r="B55">
        <v>7.2</v>
      </c>
      <c r="C55" s="1">
        <v>44707.501388888893</v>
      </c>
      <c r="D55">
        <v>7</v>
      </c>
      <c r="E55">
        <v>5</v>
      </c>
      <c r="F55" t="s">
        <v>15</v>
      </c>
      <c r="G55">
        <v>1</v>
      </c>
      <c r="H55">
        <v>876</v>
      </c>
      <c r="I55" t="s">
        <v>46</v>
      </c>
      <c r="J55">
        <v>144</v>
      </c>
      <c r="K55">
        <v>2.4940000000000002</v>
      </c>
      <c r="L55">
        <v>40</v>
      </c>
      <c r="M55" t="s">
        <v>14</v>
      </c>
      <c r="N55">
        <v>236</v>
      </c>
      <c r="O55">
        <v>-14.8628</v>
      </c>
      <c r="P55">
        <v>-70.308099999999996</v>
      </c>
      <c r="Q55" t="s">
        <v>163</v>
      </c>
      <c r="R55" t="s">
        <v>53</v>
      </c>
      <c r="S55" t="s">
        <v>164</v>
      </c>
      <c r="U55" t="str">
        <f t="shared" si="0"/>
        <v>N km direction of city</v>
      </c>
      <c r="V55" t="str">
        <f t="shared" si="1"/>
        <v>mww</v>
      </c>
      <c r="X55">
        <f t="shared" si="2"/>
        <v>2022</v>
      </c>
    </row>
    <row r="56" spans="1:24">
      <c r="A56" t="s">
        <v>165</v>
      </c>
      <c r="B56">
        <v>6.9</v>
      </c>
      <c r="C56" s="1">
        <v>44700.425694444442</v>
      </c>
      <c r="D56">
        <v>2</v>
      </c>
      <c r="E56">
        <v>5</v>
      </c>
      <c r="F56" t="s">
        <v>15</v>
      </c>
      <c r="G56">
        <v>1</v>
      </c>
      <c r="H56">
        <v>733</v>
      </c>
      <c r="I56" t="s">
        <v>46</v>
      </c>
      <c r="J56">
        <v>127</v>
      </c>
      <c r="K56">
        <v>0.371</v>
      </c>
      <c r="L56">
        <v>45</v>
      </c>
      <c r="M56" t="s">
        <v>14</v>
      </c>
      <c r="N56">
        <v>10</v>
      </c>
      <c r="O56">
        <v>-54.1325</v>
      </c>
      <c r="P56">
        <v>159.02699999999999</v>
      </c>
      <c r="U56" t="str">
        <f t="shared" si="0"/>
        <v>Named-region</v>
      </c>
      <c r="V56" t="str">
        <f t="shared" si="1"/>
        <v>mww</v>
      </c>
      <c r="X56">
        <f t="shared" si="2"/>
        <v>2022</v>
      </c>
    </row>
    <row r="57" spans="1:24">
      <c r="A57" t="s">
        <v>166</v>
      </c>
      <c r="B57">
        <v>6.8</v>
      </c>
      <c r="C57" s="1">
        <v>44691.962500000001</v>
      </c>
      <c r="D57">
        <v>6</v>
      </c>
      <c r="E57">
        <v>5</v>
      </c>
      <c r="F57" t="s">
        <v>15</v>
      </c>
      <c r="G57">
        <v>1</v>
      </c>
      <c r="H57">
        <v>762</v>
      </c>
      <c r="I57" t="s">
        <v>46</v>
      </c>
      <c r="J57">
        <v>162</v>
      </c>
      <c r="K57">
        <v>1.5049999999999999</v>
      </c>
      <c r="L57">
        <v>30</v>
      </c>
      <c r="M57" t="s">
        <v>14</v>
      </c>
      <c r="N57">
        <v>220</v>
      </c>
      <c r="O57">
        <v>-23.614100000000001</v>
      </c>
      <c r="P57">
        <v>-66.723600000000005</v>
      </c>
      <c r="Q57" t="s">
        <v>91</v>
      </c>
      <c r="R57" t="s">
        <v>53</v>
      </c>
      <c r="S57" t="s">
        <v>54</v>
      </c>
      <c r="U57" t="str">
        <f t="shared" si="0"/>
        <v>N km direction of city</v>
      </c>
      <c r="V57" t="str">
        <f t="shared" si="1"/>
        <v>mww</v>
      </c>
      <c r="X57">
        <f t="shared" si="2"/>
        <v>2022</v>
      </c>
    </row>
    <row r="58" spans="1:24">
      <c r="A58" t="s">
        <v>167</v>
      </c>
      <c r="B58">
        <v>6.6</v>
      </c>
      <c r="C58" s="1">
        <v>44672.320833333331</v>
      </c>
      <c r="D58">
        <v>6</v>
      </c>
      <c r="E58">
        <v>5</v>
      </c>
      <c r="F58" t="s">
        <v>15</v>
      </c>
      <c r="G58">
        <v>1</v>
      </c>
      <c r="H58">
        <v>762</v>
      </c>
      <c r="I58" t="s">
        <v>46</v>
      </c>
      <c r="J58">
        <v>0</v>
      </c>
      <c r="K58">
        <v>0.91400000000000003</v>
      </c>
      <c r="L58">
        <v>94</v>
      </c>
      <c r="M58" t="s">
        <v>14</v>
      </c>
      <c r="N58">
        <v>27</v>
      </c>
      <c r="O58">
        <v>11.553800000000001</v>
      </c>
      <c r="P58">
        <v>-86.991900000000001</v>
      </c>
      <c r="Q58" t="s">
        <v>168</v>
      </c>
      <c r="U58" t="str">
        <f t="shared" si="0"/>
        <v>N km direction of city</v>
      </c>
      <c r="V58" t="str">
        <f t="shared" si="1"/>
        <v>mww</v>
      </c>
      <c r="X58">
        <f t="shared" si="2"/>
        <v>2022</v>
      </c>
    </row>
    <row r="59" spans="1:24">
      <c r="A59" t="s">
        <v>169</v>
      </c>
      <c r="B59">
        <v>7</v>
      </c>
      <c r="C59" s="1">
        <v>44651.238888888889</v>
      </c>
      <c r="D59">
        <v>6</v>
      </c>
      <c r="E59">
        <v>4</v>
      </c>
      <c r="F59" t="s">
        <v>15</v>
      </c>
      <c r="G59">
        <v>1</v>
      </c>
      <c r="H59">
        <v>763</v>
      </c>
      <c r="I59" t="s">
        <v>46</v>
      </c>
      <c r="J59">
        <v>0</v>
      </c>
      <c r="K59">
        <v>2.7050000000000001</v>
      </c>
      <c r="L59">
        <v>26</v>
      </c>
      <c r="M59" t="s">
        <v>14</v>
      </c>
      <c r="N59">
        <v>10</v>
      </c>
      <c r="O59">
        <v>-22.5732</v>
      </c>
      <c r="P59">
        <v>170.34899999999999</v>
      </c>
      <c r="Q59" t="s">
        <v>70</v>
      </c>
      <c r="U59" t="str">
        <f t="shared" si="0"/>
        <v>Named-region</v>
      </c>
      <c r="V59" t="str">
        <f t="shared" si="1"/>
        <v>mww</v>
      </c>
      <c r="X59">
        <f t="shared" si="2"/>
        <v>2022</v>
      </c>
    </row>
    <row r="60" spans="1:24">
      <c r="A60" t="s">
        <v>170</v>
      </c>
      <c r="B60">
        <v>6.9</v>
      </c>
      <c r="C60" s="1">
        <v>44650.87222222222</v>
      </c>
      <c r="D60">
        <v>6</v>
      </c>
      <c r="E60">
        <v>4</v>
      </c>
      <c r="F60" t="s">
        <v>15</v>
      </c>
      <c r="G60">
        <v>1</v>
      </c>
      <c r="H60">
        <v>738</v>
      </c>
      <c r="I60" t="s">
        <v>46</v>
      </c>
      <c r="J60">
        <v>0</v>
      </c>
      <c r="K60">
        <v>2.6970000000000001</v>
      </c>
      <c r="L60">
        <v>42</v>
      </c>
      <c r="M60" t="s">
        <v>14</v>
      </c>
      <c r="N60">
        <v>10</v>
      </c>
      <c r="O60">
        <v>-22.72</v>
      </c>
      <c r="P60">
        <v>170.27699999999999</v>
      </c>
      <c r="Q60" t="s">
        <v>171</v>
      </c>
      <c r="U60" t="str">
        <f t="shared" si="0"/>
        <v>N km direction of city</v>
      </c>
      <c r="V60" t="str">
        <f t="shared" si="1"/>
        <v>mww</v>
      </c>
      <c r="X60">
        <f t="shared" si="2"/>
        <v>2022</v>
      </c>
    </row>
    <row r="61" spans="1:24">
      <c r="A61" t="s">
        <v>172</v>
      </c>
      <c r="B61">
        <v>6.7</v>
      </c>
      <c r="C61" s="1">
        <v>44642.736805555563</v>
      </c>
      <c r="D61">
        <v>8</v>
      </c>
      <c r="E61">
        <v>7</v>
      </c>
      <c r="F61" t="s">
        <v>15</v>
      </c>
      <c r="G61">
        <v>1</v>
      </c>
      <c r="H61">
        <v>806</v>
      </c>
      <c r="I61" t="s">
        <v>46</v>
      </c>
      <c r="J61">
        <v>0</v>
      </c>
      <c r="K61">
        <v>0.28899999999999998</v>
      </c>
      <c r="L61">
        <v>32</v>
      </c>
      <c r="M61" t="s">
        <v>14</v>
      </c>
      <c r="N61">
        <v>24</v>
      </c>
      <c r="O61">
        <v>23.342099999999999</v>
      </c>
      <c r="P61">
        <v>121.636</v>
      </c>
      <c r="Q61" t="s">
        <v>173</v>
      </c>
      <c r="R61" t="s">
        <v>85</v>
      </c>
      <c r="S61" t="s">
        <v>144</v>
      </c>
      <c r="U61" t="str">
        <f t="shared" si="0"/>
        <v>N km direction of city</v>
      </c>
      <c r="V61" t="str">
        <f t="shared" si="1"/>
        <v>mww</v>
      </c>
      <c r="X61">
        <f t="shared" si="2"/>
        <v>2022</v>
      </c>
    </row>
    <row r="62" spans="1:24">
      <c r="A62" t="s">
        <v>174</v>
      </c>
      <c r="B62">
        <v>7.3</v>
      </c>
      <c r="C62" s="1">
        <v>44636.60833333333</v>
      </c>
      <c r="D62">
        <v>9</v>
      </c>
      <c r="E62">
        <v>8</v>
      </c>
      <c r="F62" t="s">
        <v>17</v>
      </c>
      <c r="G62">
        <v>1</v>
      </c>
      <c r="H62">
        <v>2397</v>
      </c>
      <c r="I62" t="s">
        <v>46</v>
      </c>
      <c r="J62">
        <v>0</v>
      </c>
      <c r="K62">
        <v>2.9359999999999999</v>
      </c>
      <c r="L62">
        <v>29</v>
      </c>
      <c r="M62" t="s">
        <v>14</v>
      </c>
      <c r="N62">
        <v>41</v>
      </c>
      <c r="O62">
        <v>37.701500000000003</v>
      </c>
      <c r="P62">
        <v>141.58699999999999</v>
      </c>
      <c r="Q62" t="s">
        <v>175</v>
      </c>
      <c r="U62" t="str">
        <f t="shared" si="0"/>
        <v>N km direction of city</v>
      </c>
      <c r="V62" t="str">
        <f t="shared" si="1"/>
        <v>mww</v>
      </c>
      <c r="X62">
        <f t="shared" si="2"/>
        <v>2022</v>
      </c>
    </row>
    <row r="63" spans="1:24">
      <c r="A63" t="s">
        <v>176</v>
      </c>
      <c r="B63">
        <v>6.7</v>
      </c>
      <c r="C63" s="1">
        <v>44633.881249999999</v>
      </c>
      <c r="D63">
        <v>9</v>
      </c>
      <c r="E63">
        <v>6</v>
      </c>
      <c r="F63" t="s">
        <v>15</v>
      </c>
      <c r="G63">
        <v>0</v>
      </c>
      <c r="H63">
        <v>708</v>
      </c>
      <c r="I63" t="s">
        <v>46</v>
      </c>
      <c r="J63">
        <v>0</v>
      </c>
      <c r="K63">
        <v>2.1880000000000002</v>
      </c>
      <c r="L63">
        <v>43</v>
      </c>
      <c r="M63" t="s">
        <v>14</v>
      </c>
      <c r="N63">
        <v>28</v>
      </c>
      <c r="O63">
        <v>-0.68310000000000004</v>
      </c>
      <c r="P63">
        <v>98.603399999999993</v>
      </c>
      <c r="Q63" t="s">
        <v>177</v>
      </c>
      <c r="R63" t="s">
        <v>85</v>
      </c>
      <c r="S63" t="s">
        <v>77</v>
      </c>
      <c r="U63" t="str">
        <f t="shared" si="0"/>
        <v>N km direction of city</v>
      </c>
      <c r="V63" t="str">
        <f t="shared" si="1"/>
        <v>mww</v>
      </c>
      <c r="X63">
        <f t="shared" si="2"/>
        <v>2022</v>
      </c>
    </row>
    <row r="64" spans="1:24">
      <c r="A64" t="s">
        <v>178</v>
      </c>
      <c r="B64">
        <v>6.6</v>
      </c>
      <c r="C64" s="1">
        <v>44622.536111111112</v>
      </c>
      <c r="D64">
        <v>2</v>
      </c>
      <c r="E64">
        <v>7</v>
      </c>
      <c r="F64" t="s">
        <v>15</v>
      </c>
      <c r="G64">
        <v>1</v>
      </c>
      <c r="H64">
        <v>670</v>
      </c>
      <c r="I64" t="s">
        <v>46</v>
      </c>
      <c r="J64">
        <v>0</v>
      </c>
      <c r="K64">
        <v>0.82699999999999996</v>
      </c>
      <c r="L64">
        <v>46</v>
      </c>
      <c r="M64" t="s">
        <v>14</v>
      </c>
      <c r="N64">
        <v>24</v>
      </c>
      <c r="O64">
        <v>-30.052800000000001</v>
      </c>
      <c r="P64">
        <v>-177.74</v>
      </c>
      <c r="Q64" t="s">
        <v>79</v>
      </c>
      <c r="U64" t="str">
        <f t="shared" si="0"/>
        <v>Named-region</v>
      </c>
      <c r="V64" t="str">
        <f t="shared" si="1"/>
        <v>mww</v>
      </c>
      <c r="X64">
        <f t="shared" si="2"/>
        <v>2022</v>
      </c>
    </row>
    <row r="65" spans="1:24">
      <c r="A65" t="s">
        <v>133</v>
      </c>
      <c r="B65">
        <v>6.8</v>
      </c>
      <c r="C65" s="1">
        <v>44608.847916666673</v>
      </c>
      <c r="D65">
        <v>2</v>
      </c>
      <c r="E65">
        <v>3</v>
      </c>
      <c r="F65" t="s">
        <v>15</v>
      </c>
      <c r="G65">
        <v>1</v>
      </c>
      <c r="H65">
        <v>712</v>
      </c>
      <c r="I65" t="s">
        <v>46</v>
      </c>
      <c r="J65">
        <v>0</v>
      </c>
      <c r="K65">
        <v>5.78</v>
      </c>
      <c r="L65">
        <v>12</v>
      </c>
      <c r="M65" t="s">
        <v>14</v>
      </c>
      <c r="N65">
        <v>535</v>
      </c>
      <c r="O65">
        <v>-23.7852</v>
      </c>
      <c r="P65">
        <v>-179.96799999999999</v>
      </c>
      <c r="Q65" t="s">
        <v>65</v>
      </c>
      <c r="U65" t="str">
        <f t="shared" si="0"/>
        <v>Named-region</v>
      </c>
      <c r="V65" t="str">
        <f t="shared" si="1"/>
        <v>mww</v>
      </c>
      <c r="X65">
        <f t="shared" si="2"/>
        <v>2022</v>
      </c>
    </row>
    <row r="66" spans="1:24">
      <c r="A66" t="s">
        <v>179</v>
      </c>
      <c r="B66">
        <v>6.5</v>
      </c>
      <c r="C66" s="1">
        <v>44595.665277777778</v>
      </c>
      <c r="D66">
        <v>8</v>
      </c>
      <c r="E66">
        <v>6</v>
      </c>
      <c r="F66" t="s">
        <v>15</v>
      </c>
      <c r="G66">
        <v>0</v>
      </c>
      <c r="H66">
        <v>690</v>
      </c>
      <c r="I66" t="s">
        <v>46</v>
      </c>
      <c r="J66">
        <v>0</v>
      </c>
      <c r="K66">
        <v>3.0259999999999998</v>
      </c>
      <c r="L66">
        <v>22</v>
      </c>
      <c r="M66" t="s">
        <v>14</v>
      </c>
      <c r="N66">
        <v>110</v>
      </c>
      <c r="O66">
        <v>-4.4550000000000001</v>
      </c>
      <c r="P66">
        <v>-76.939499999999995</v>
      </c>
      <c r="Q66" t="s">
        <v>180</v>
      </c>
      <c r="R66" t="s">
        <v>53</v>
      </c>
      <c r="S66" t="s">
        <v>164</v>
      </c>
      <c r="U66" t="str">
        <f t="shared" ref="U66:U129" si="3">IF(ISNUMBER(SEARCH("km",A66)),"N km direction of city","Named-region")</f>
        <v>N km direction of city</v>
      </c>
      <c r="V66" t="str">
        <f t="shared" ref="V66:V129" si="4">LOWER(M66)</f>
        <v>mww</v>
      </c>
      <c r="X66">
        <f t="shared" ref="X66:X129" si="5">YEAR(C66)</f>
        <v>2022</v>
      </c>
    </row>
    <row r="67" spans="1:24">
      <c r="A67" t="s">
        <v>181</v>
      </c>
      <c r="B67">
        <v>6.5</v>
      </c>
      <c r="C67" s="1">
        <v>44590.115277777782</v>
      </c>
      <c r="D67">
        <v>7</v>
      </c>
      <c r="E67">
        <v>4</v>
      </c>
      <c r="F67" t="s">
        <v>15</v>
      </c>
      <c r="G67">
        <v>1</v>
      </c>
      <c r="H67">
        <v>651</v>
      </c>
      <c r="I67" t="s">
        <v>46</v>
      </c>
      <c r="J67">
        <v>0</v>
      </c>
      <c r="K67">
        <v>1.0880000000000001</v>
      </c>
      <c r="L67">
        <v>57</v>
      </c>
      <c r="M67" t="s">
        <v>14</v>
      </c>
      <c r="N67">
        <v>8</v>
      </c>
      <c r="O67">
        <v>-29.535</v>
      </c>
      <c r="P67">
        <v>-176.72900000000001</v>
      </c>
      <c r="Q67" t="s">
        <v>98</v>
      </c>
      <c r="U67" t="str">
        <f t="shared" si="3"/>
        <v>Named-region</v>
      </c>
      <c r="V67" t="str">
        <f t="shared" si="4"/>
        <v>mww</v>
      </c>
      <c r="X67">
        <f t="shared" si="5"/>
        <v>2022</v>
      </c>
    </row>
    <row r="68" spans="1:24">
      <c r="A68" t="s">
        <v>182</v>
      </c>
      <c r="B68">
        <v>6.6</v>
      </c>
      <c r="C68" s="1">
        <v>44575.378472222219</v>
      </c>
      <c r="D68">
        <v>8</v>
      </c>
      <c r="E68">
        <v>6</v>
      </c>
      <c r="F68" t="s">
        <v>15</v>
      </c>
      <c r="G68">
        <v>0</v>
      </c>
      <c r="H68">
        <v>785</v>
      </c>
      <c r="I68" t="s">
        <v>46</v>
      </c>
      <c r="J68">
        <v>0</v>
      </c>
      <c r="K68">
        <v>2.4180000000000001</v>
      </c>
      <c r="L68">
        <v>22</v>
      </c>
      <c r="M68" t="s">
        <v>14</v>
      </c>
      <c r="N68">
        <v>33</v>
      </c>
      <c r="O68">
        <v>-6.9291</v>
      </c>
      <c r="P68">
        <v>105.251</v>
      </c>
      <c r="Q68" t="s">
        <v>183</v>
      </c>
      <c r="S68" t="s">
        <v>77</v>
      </c>
      <c r="U68" t="str">
        <f t="shared" si="3"/>
        <v>N km direction of city</v>
      </c>
      <c r="V68" t="str">
        <f t="shared" si="4"/>
        <v>mww</v>
      </c>
      <c r="X68">
        <f t="shared" si="5"/>
        <v>2022</v>
      </c>
    </row>
    <row r="69" spans="1:24">
      <c r="A69" t="s">
        <v>184</v>
      </c>
      <c r="B69">
        <v>6.5</v>
      </c>
      <c r="C69" s="1">
        <v>44572.527083333327</v>
      </c>
      <c r="D69">
        <v>0</v>
      </c>
      <c r="E69">
        <v>3</v>
      </c>
      <c r="G69">
        <v>1</v>
      </c>
      <c r="H69">
        <v>650</v>
      </c>
      <c r="I69" t="s">
        <v>58</v>
      </c>
      <c r="J69">
        <v>97</v>
      </c>
      <c r="K69">
        <v>1.6160699999999999</v>
      </c>
      <c r="L69">
        <v>108</v>
      </c>
      <c r="M69" t="s">
        <v>8</v>
      </c>
      <c r="N69">
        <v>37</v>
      </c>
      <c r="O69">
        <v>52.502000000000002</v>
      </c>
      <c r="P69">
        <v>-168.08</v>
      </c>
      <c r="Q69" t="s">
        <v>185</v>
      </c>
      <c r="U69" t="str">
        <f t="shared" si="3"/>
        <v>N km direction of city</v>
      </c>
      <c r="V69" t="str">
        <f t="shared" si="4"/>
        <v>mi</v>
      </c>
      <c r="X69">
        <f t="shared" si="5"/>
        <v>2022</v>
      </c>
    </row>
    <row r="70" spans="1:24">
      <c r="A70" t="s">
        <v>184</v>
      </c>
      <c r="B70">
        <v>6.5</v>
      </c>
      <c r="C70" s="1">
        <v>44572.527083333327</v>
      </c>
      <c r="D70">
        <v>0</v>
      </c>
      <c r="E70">
        <v>3</v>
      </c>
      <c r="G70">
        <v>1</v>
      </c>
      <c r="H70">
        <v>650</v>
      </c>
      <c r="I70" t="s">
        <v>186</v>
      </c>
      <c r="J70">
        <v>23</v>
      </c>
      <c r="K70">
        <v>0</v>
      </c>
      <c r="L70">
        <v>208.8</v>
      </c>
      <c r="M70" t="s">
        <v>8</v>
      </c>
      <c r="N70">
        <v>37</v>
      </c>
      <c r="O70">
        <v>52.502000000000002</v>
      </c>
      <c r="P70">
        <v>-168.08</v>
      </c>
      <c r="Q70" t="s">
        <v>185</v>
      </c>
      <c r="U70" t="str">
        <f t="shared" si="3"/>
        <v>N km direction of city</v>
      </c>
      <c r="V70" t="str">
        <f t="shared" si="4"/>
        <v>mi</v>
      </c>
      <c r="X70">
        <f t="shared" si="5"/>
        <v>2022</v>
      </c>
    </row>
    <row r="71" spans="1:24">
      <c r="A71" t="s">
        <v>187</v>
      </c>
      <c r="B71">
        <v>6.6</v>
      </c>
      <c r="C71" s="1">
        <v>44572.527083333327</v>
      </c>
      <c r="D71">
        <v>8</v>
      </c>
      <c r="E71">
        <v>5</v>
      </c>
      <c r="F71" t="s">
        <v>15</v>
      </c>
      <c r="G71">
        <v>1</v>
      </c>
      <c r="H71">
        <v>674</v>
      </c>
      <c r="I71" t="s">
        <v>46</v>
      </c>
      <c r="J71">
        <v>0</v>
      </c>
      <c r="K71">
        <v>0.50700000000000001</v>
      </c>
      <c r="L71">
        <v>49</v>
      </c>
      <c r="M71" t="s">
        <v>14</v>
      </c>
      <c r="N71">
        <v>19</v>
      </c>
      <c r="O71">
        <v>52.6252</v>
      </c>
      <c r="P71">
        <v>-168.15</v>
      </c>
      <c r="Q71" t="s">
        <v>185</v>
      </c>
      <c r="U71" t="str">
        <f t="shared" si="3"/>
        <v>N km direction of city</v>
      </c>
      <c r="V71" t="str">
        <f t="shared" si="4"/>
        <v>mww</v>
      </c>
      <c r="X71">
        <f t="shared" si="5"/>
        <v>2022</v>
      </c>
    </row>
    <row r="72" spans="1:24">
      <c r="A72" t="s">
        <v>188</v>
      </c>
      <c r="B72">
        <v>6.7</v>
      </c>
      <c r="C72" s="1">
        <v>44572.482638888891</v>
      </c>
      <c r="D72">
        <v>0</v>
      </c>
      <c r="E72">
        <v>4</v>
      </c>
      <c r="G72">
        <v>1</v>
      </c>
      <c r="H72">
        <v>691</v>
      </c>
      <c r="I72" t="s">
        <v>58</v>
      </c>
      <c r="J72">
        <v>50</v>
      </c>
      <c r="K72">
        <v>0.93694299999999997</v>
      </c>
      <c r="L72">
        <v>126</v>
      </c>
      <c r="M72" t="s">
        <v>8</v>
      </c>
      <c r="N72">
        <v>33</v>
      </c>
      <c r="O72">
        <v>52.48</v>
      </c>
      <c r="P72">
        <v>-167.73599999999999</v>
      </c>
      <c r="Q72" t="s">
        <v>185</v>
      </c>
      <c r="U72" t="str">
        <f t="shared" si="3"/>
        <v>N km direction of city</v>
      </c>
      <c r="V72" t="str">
        <f t="shared" si="4"/>
        <v>mi</v>
      </c>
      <c r="X72">
        <f t="shared" si="5"/>
        <v>2022</v>
      </c>
    </row>
    <row r="73" spans="1:24">
      <c r="A73" t="s">
        <v>188</v>
      </c>
      <c r="B73">
        <v>6.7</v>
      </c>
      <c r="C73" s="1">
        <v>44572.482638888891</v>
      </c>
      <c r="D73">
        <v>0</v>
      </c>
      <c r="E73">
        <v>4</v>
      </c>
      <c r="G73">
        <v>1</v>
      </c>
      <c r="H73">
        <v>691</v>
      </c>
      <c r="I73" t="s">
        <v>186</v>
      </c>
      <c r="J73">
        <v>20</v>
      </c>
      <c r="K73">
        <v>0</v>
      </c>
      <c r="L73">
        <v>205.2</v>
      </c>
      <c r="M73" t="s">
        <v>8</v>
      </c>
      <c r="N73">
        <v>33</v>
      </c>
      <c r="O73">
        <v>52.48</v>
      </c>
      <c r="P73">
        <v>-167.73599999999999</v>
      </c>
      <c r="Q73" t="s">
        <v>185</v>
      </c>
      <c r="U73" t="str">
        <f t="shared" si="3"/>
        <v>N km direction of city</v>
      </c>
      <c r="V73" t="str">
        <f t="shared" si="4"/>
        <v>mi</v>
      </c>
      <c r="X73">
        <f t="shared" si="5"/>
        <v>2022</v>
      </c>
    </row>
    <row r="74" spans="1:24">
      <c r="A74" t="s">
        <v>189</v>
      </c>
      <c r="B74">
        <v>6.8</v>
      </c>
      <c r="C74" s="1">
        <v>44572.482638888891</v>
      </c>
      <c r="D74">
        <v>7</v>
      </c>
      <c r="E74">
        <v>6</v>
      </c>
      <c r="F74" t="s">
        <v>15</v>
      </c>
      <c r="G74">
        <v>1</v>
      </c>
      <c r="H74">
        <v>730</v>
      </c>
      <c r="I74" t="s">
        <v>46</v>
      </c>
      <c r="J74">
        <v>0</v>
      </c>
      <c r="K74">
        <v>0.92</v>
      </c>
      <c r="L74">
        <v>61</v>
      </c>
      <c r="M74" t="s">
        <v>14</v>
      </c>
      <c r="N74">
        <v>20</v>
      </c>
      <c r="O74">
        <v>52.656300000000002</v>
      </c>
      <c r="P74">
        <v>-167.917</v>
      </c>
      <c r="Q74" t="s">
        <v>185</v>
      </c>
      <c r="U74" t="str">
        <f t="shared" si="3"/>
        <v>N km direction of city</v>
      </c>
      <c r="V74" t="str">
        <f t="shared" si="4"/>
        <v>mww</v>
      </c>
      <c r="X74">
        <f t="shared" si="5"/>
        <v>2022</v>
      </c>
    </row>
    <row r="75" spans="1:24">
      <c r="A75" t="s">
        <v>190</v>
      </c>
      <c r="B75">
        <v>6.6</v>
      </c>
      <c r="C75" s="1">
        <v>44572.046527777777</v>
      </c>
      <c r="D75">
        <v>6</v>
      </c>
      <c r="E75">
        <v>6</v>
      </c>
      <c r="F75" t="s">
        <v>15</v>
      </c>
      <c r="G75">
        <v>0</v>
      </c>
      <c r="H75">
        <v>976</v>
      </c>
      <c r="I75" t="s">
        <v>46</v>
      </c>
      <c r="J75">
        <v>0</v>
      </c>
      <c r="K75">
        <v>1.1679999999999999</v>
      </c>
      <c r="L75">
        <v>21</v>
      </c>
      <c r="M75" t="s">
        <v>14</v>
      </c>
      <c r="N75">
        <v>21</v>
      </c>
      <c r="O75">
        <v>35.145600000000002</v>
      </c>
      <c r="P75">
        <v>31.909500000000001</v>
      </c>
      <c r="Q75" t="s">
        <v>191</v>
      </c>
      <c r="R75" t="s">
        <v>85</v>
      </c>
      <c r="U75" t="str">
        <f t="shared" si="3"/>
        <v>N km direction of city</v>
      </c>
      <c r="V75" t="str">
        <f t="shared" si="4"/>
        <v>mww</v>
      </c>
      <c r="X75">
        <f t="shared" si="5"/>
        <v>2022</v>
      </c>
    </row>
    <row r="76" spans="1:24">
      <c r="A76" t="s">
        <v>192</v>
      </c>
      <c r="B76">
        <v>6.6</v>
      </c>
      <c r="C76" s="1">
        <v>44568.739583333343</v>
      </c>
      <c r="D76">
        <v>9</v>
      </c>
      <c r="E76">
        <v>8</v>
      </c>
      <c r="F76" t="s">
        <v>16</v>
      </c>
      <c r="G76">
        <v>0</v>
      </c>
      <c r="H76">
        <v>1012</v>
      </c>
      <c r="I76" t="s">
        <v>46</v>
      </c>
      <c r="J76">
        <v>0</v>
      </c>
      <c r="K76">
        <v>2.6850000000000001</v>
      </c>
      <c r="L76">
        <v>13</v>
      </c>
      <c r="M76" t="s">
        <v>14</v>
      </c>
      <c r="N76">
        <v>13</v>
      </c>
      <c r="O76">
        <v>37.816699999999997</v>
      </c>
      <c r="P76">
        <v>101.29900000000001</v>
      </c>
      <c r="Q76" t="s">
        <v>193</v>
      </c>
      <c r="R76" t="s">
        <v>85</v>
      </c>
      <c r="S76" t="s">
        <v>153</v>
      </c>
      <c r="U76" t="str">
        <f t="shared" si="3"/>
        <v>Named-region</v>
      </c>
      <c r="V76" t="str">
        <f t="shared" si="4"/>
        <v>mww</v>
      </c>
      <c r="X76">
        <f t="shared" si="5"/>
        <v>2022</v>
      </c>
    </row>
    <row r="77" spans="1:24">
      <c r="A77" t="s">
        <v>194</v>
      </c>
      <c r="B77">
        <v>7.3</v>
      </c>
      <c r="C77" s="1">
        <v>44559.767361111109</v>
      </c>
      <c r="D77">
        <v>8</v>
      </c>
      <c r="E77">
        <v>7</v>
      </c>
      <c r="F77" t="s">
        <v>15</v>
      </c>
      <c r="G77">
        <v>0</v>
      </c>
      <c r="H77">
        <v>921</v>
      </c>
      <c r="I77" t="s">
        <v>46</v>
      </c>
      <c r="J77">
        <v>0</v>
      </c>
      <c r="K77">
        <v>3.7130000000000001</v>
      </c>
      <c r="L77">
        <v>19</v>
      </c>
      <c r="M77" t="s">
        <v>14</v>
      </c>
      <c r="N77">
        <v>165.49</v>
      </c>
      <c r="O77">
        <v>-7.5923999999999996</v>
      </c>
      <c r="P77">
        <v>127.581</v>
      </c>
      <c r="Q77" t="s">
        <v>195</v>
      </c>
      <c r="S77" t="s">
        <v>77</v>
      </c>
      <c r="U77" t="str">
        <f t="shared" si="3"/>
        <v>N km direction of city</v>
      </c>
      <c r="V77" t="str">
        <f t="shared" si="4"/>
        <v>mww</v>
      </c>
      <c r="X77">
        <f t="shared" si="5"/>
        <v>2021</v>
      </c>
    </row>
    <row r="78" spans="1:24">
      <c r="A78" t="s">
        <v>196</v>
      </c>
      <c r="B78">
        <v>7.3</v>
      </c>
      <c r="C78" s="1">
        <v>44544.138888888891</v>
      </c>
      <c r="D78">
        <v>9</v>
      </c>
      <c r="E78">
        <v>5</v>
      </c>
      <c r="F78" t="s">
        <v>15</v>
      </c>
      <c r="G78">
        <v>1</v>
      </c>
      <c r="H78">
        <v>854</v>
      </c>
      <c r="I78" t="s">
        <v>46</v>
      </c>
      <c r="J78">
        <v>0</v>
      </c>
      <c r="K78">
        <v>1.0249999999999999</v>
      </c>
      <c r="L78">
        <v>32</v>
      </c>
      <c r="M78" t="s">
        <v>14</v>
      </c>
      <c r="N78">
        <v>14.27</v>
      </c>
      <c r="O78">
        <v>-7.6032999999999999</v>
      </c>
      <c r="P78">
        <v>122.2</v>
      </c>
      <c r="Q78" t="s">
        <v>197</v>
      </c>
      <c r="R78" t="s">
        <v>85</v>
      </c>
      <c r="S78" t="s">
        <v>77</v>
      </c>
      <c r="U78" t="str">
        <f t="shared" si="3"/>
        <v>Named-region</v>
      </c>
      <c r="V78" t="str">
        <f t="shared" si="4"/>
        <v>mww</v>
      </c>
      <c r="X78">
        <f t="shared" si="5"/>
        <v>2021</v>
      </c>
    </row>
    <row r="79" spans="1:24">
      <c r="A79" t="s">
        <v>198</v>
      </c>
      <c r="B79">
        <v>7.5</v>
      </c>
      <c r="C79" s="1">
        <v>44528.452777777777</v>
      </c>
      <c r="D79">
        <v>8</v>
      </c>
      <c r="E79">
        <v>8</v>
      </c>
      <c r="F79" t="s">
        <v>18</v>
      </c>
      <c r="G79">
        <v>1</v>
      </c>
      <c r="H79">
        <v>1094</v>
      </c>
      <c r="I79" t="s">
        <v>46</v>
      </c>
      <c r="J79">
        <v>0</v>
      </c>
      <c r="K79">
        <v>4.9509999999999996</v>
      </c>
      <c r="L79">
        <v>40</v>
      </c>
      <c r="M79" t="s">
        <v>14</v>
      </c>
      <c r="N79">
        <v>126</v>
      </c>
      <c r="O79">
        <v>-4.4897999999999998</v>
      </c>
      <c r="P79">
        <v>-76.846100000000007</v>
      </c>
      <c r="Q79" t="s">
        <v>180</v>
      </c>
      <c r="R79" t="s">
        <v>53</v>
      </c>
      <c r="S79" t="s">
        <v>164</v>
      </c>
      <c r="U79" t="str">
        <f t="shared" si="3"/>
        <v>N km direction of city</v>
      </c>
      <c r="V79" t="str">
        <f t="shared" si="4"/>
        <v>mww</v>
      </c>
      <c r="X79">
        <f t="shared" si="5"/>
        <v>2021</v>
      </c>
    </row>
    <row r="80" spans="1:24">
      <c r="A80" t="s">
        <v>199</v>
      </c>
      <c r="B80">
        <v>6.6</v>
      </c>
      <c r="C80" s="1">
        <v>44510.65625</v>
      </c>
      <c r="D80">
        <v>7</v>
      </c>
      <c r="E80">
        <v>4</v>
      </c>
      <c r="F80" t="s">
        <v>15</v>
      </c>
      <c r="G80">
        <v>1</v>
      </c>
      <c r="H80">
        <v>688</v>
      </c>
      <c r="I80" t="s">
        <v>46</v>
      </c>
      <c r="J80">
        <v>0</v>
      </c>
      <c r="K80">
        <v>3.2589999999999999</v>
      </c>
      <c r="L80">
        <v>15</v>
      </c>
      <c r="M80" t="s">
        <v>14</v>
      </c>
      <c r="N80">
        <v>12</v>
      </c>
      <c r="O80">
        <v>23.541399999999999</v>
      </c>
      <c r="P80">
        <v>126.48</v>
      </c>
      <c r="Q80" t="s">
        <v>200</v>
      </c>
      <c r="U80" t="str">
        <f t="shared" si="3"/>
        <v>N km direction of city</v>
      </c>
      <c r="V80" t="str">
        <f t="shared" si="4"/>
        <v>mww</v>
      </c>
      <c r="X80">
        <f t="shared" si="5"/>
        <v>2021</v>
      </c>
    </row>
    <row r="81" spans="1:24">
      <c r="A81" t="s">
        <v>201</v>
      </c>
      <c r="B81">
        <v>6.9</v>
      </c>
      <c r="C81" s="1">
        <v>44480.381944444453</v>
      </c>
      <c r="D81">
        <v>8</v>
      </c>
      <c r="E81">
        <v>6</v>
      </c>
      <c r="F81" t="s">
        <v>15</v>
      </c>
      <c r="G81">
        <v>1</v>
      </c>
      <c r="H81">
        <v>995</v>
      </c>
      <c r="I81" t="s">
        <v>202</v>
      </c>
      <c r="J81">
        <v>0</v>
      </c>
      <c r="K81">
        <v>0</v>
      </c>
      <c r="L81">
        <v>0</v>
      </c>
      <c r="M81" t="s">
        <v>14</v>
      </c>
      <c r="N81">
        <v>51.6</v>
      </c>
      <c r="O81">
        <v>56.258099999999999</v>
      </c>
      <c r="P81">
        <v>-156.49199999999999</v>
      </c>
      <c r="Q81" t="s">
        <v>203</v>
      </c>
      <c r="R81" t="s">
        <v>139</v>
      </c>
      <c r="S81" t="s">
        <v>204</v>
      </c>
      <c r="U81" t="str">
        <f t="shared" si="3"/>
        <v>N km direction of city</v>
      </c>
      <c r="V81" t="str">
        <f t="shared" si="4"/>
        <v>mww</v>
      </c>
      <c r="X81">
        <f t="shared" si="5"/>
        <v>2021</v>
      </c>
    </row>
    <row r="82" spans="1:24">
      <c r="A82" t="s">
        <v>205</v>
      </c>
      <c r="B82">
        <v>6.9</v>
      </c>
      <c r="C82" s="1">
        <v>44478.456944444442</v>
      </c>
      <c r="D82">
        <v>4</v>
      </c>
      <c r="E82">
        <v>3</v>
      </c>
      <c r="F82" t="s">
        <v>15</v>
      </c>
      <c r="G82">
        <v>1</v>
      </c>
      <c r="H82">
        <v>740</v>
      </c>
      <c r="I82" t="s">
        <v>46</v>
      </c>
      <c r="J82">
        <v>0</v>
      </c>
      <c r="K82">
        <v>4.7779999999999996</v>
      </c>
      <c r="L82">
        <v>31</v>
      </c>
      <c r="M82" t="s">
        <v>14</v>
      </c>
      <c r="N82">
        <v>535</v>
      </c>
      <c r="O82">
        <v>-21.170400000000001</v>
      </c>
      <c r="P82">
        <v>174.54</v>
      </c>
      <c r="Q82" t="s">
        <v>206</v>
      </c>
      <c r="U82" t="str">
        <f t="shared" si="3"/>
        <v>Named-region</v>
      </c>
      <c r="V82" t="str">
        <f t="shared" si="4"/>
        <v>mww</v>
      </c>
      <c r="X82">
        <f t="shared" si="5"/>
        <v>2021</v>
      </c>
    </row>
    <row r="83" spans="1:24">
      <c r="A83" t="s">
        <v>207</v>
      </c>
      <c r="B83">
        <v>7.3</v>
      </c>
      <c r="C83" s="1">
        <v>44471.270138888889</v>
      </c>
      <c r="D83">
        <v>4</v>
      </c>
      <c r="E83">
        <v>4</v>
      </c>
      <c r="F83" t="s">
        <v>15</v>
      </c>
      <c r="G83">
        <v>1</v>
      </c>
      <c r="H83">
        <v>826</v>
      </c>
      <c r="I83" t="s">
        <v>46</v>
      </c>
      <c r="J83">
        <v>0</v>
      </c>
      <c r="K83">
        <v>4.4930000000000003</v>
      </c>
      <c r="L83">
        <v>32</v>
      </c>
      <c r="M83" t="s">
        <v>14</v>
      </c>
      <c r="N83">
        <v>527</v>
      </c>
      <c r="O83">
        <v>-21.1036</v>
      </c>
      <c r="P83">
        <v>174.89500000000001</v>
      </c>
      <c r="Q83" t="s">
        <v>206</v>
      </c>
      <c r="U83" t="str">
        <f t="shared" si="3"/>
        <v>Named-region</v>
      </c>
      <c r="V83" t="str">
        <f t="shared" si="4"/>
        <v>mww</v>
      </c>
      <c r="X83">
        <f t="shared" si="5"/>
        <v>2021</v>
      </c>
    </row>
    <row r="84" spans="1:24">
      <c r="A84" t="s">
        <v>208</v>
      </c>
      <c r="B84">
        <v>6.5</v>
      </c>
      <c r="C84" s="1">
        <v>44461.414583333331</v>
      </c>
      <c r="D84">
        <v>7</v>
      </c>
      <c r="E84">
        <v>5</v>
      </c>
      <c r="F84" t="s">
        <v>15</v>
      </c>
      <c r="G84">
        <v>1</v>
      </c>
      <c r="H84">
        <v>684</v>
      </c>
      <c r="I84" t="s">
        <v>46</v>
      </c>
      <c r="J84">
        <v>0</v>
      </c>
      <c r="K84">
        <v>0.99299999999999999</v>
      </c>
      <c r="L84">
        <v>114</v>
      </c>
      <c r="M84" t="s">
        <v>14</v>
      </c>
      <c r="N84">
        <v>21</v>
      </c>
      <c r="O84">
        <v>12.159800000000001</v>
      </c>
      <c r="P84">
        <v>-87.854200000000006</v>
      </c>
      <c r="Q84" t="s">
        <v>209</v>
      </c>
      <c r="U84" t="str">
        <f t="shared" si="3"/>
        <v>N km direction of city</v>
      </c>
      <c r="V84" t="str">
        <f t="shared" si="4"/>
        <v>mww</v>
      </c>
      <c r="X84">
        <f t="shared" si="5"/>
        <v>2021</v>
      </c>
    </row>
    <row r="85" spans="1:24">
      <c r="A85" t="s">
        <v>210</v>
      </c>
      <c r="B85">
        <v>7</v>
      </c>
      <c r="C85" s="1">
        <v>44447.074305555558</v>
      </c>
      <c r="D85">
        <v>8</v>
      </c>
      <c r="E85">
        <v>8</v>
      </c>
      <c r="F85" t="s">
        <v>17</v>
      </c>
      <c r="G85">
        <v>1</v>
      </c>
      <c r="H85">
        <v>2504</v>
      </c>
      <c r="I85" t="s">
        <v>46</v>
      </c>
      <c r="J85">
        <v>0</v>
      </c>
      <c r="K85">
        <v>7.0000000000000007E-2</v>
      </c>
      <c r="L85">
        <v>43</v>
      </c>
      <c r="M85" t="s">
        <v>14</v>
      </c>
      <c r="N85">
        <v>20</v>
      </c>
      <c r="O85">
        <v>16.950199999999999</v>
      </c>
      <c r="P85">
        <v>-99.787700000000001</v>
      </c>
      <c r="Q85" t="s">
        <v>211</v>
      </c>
      <c r="R85" t="s">
        <v>139</v>
      </c>
      <c r="S85" t="s">
        <v>140</v>
      </c>
      <c r="U85" t="str">
        <f t="shared" si="3"/>
        <v>Named-region</v>
      </c>
      <c r="V85" t="str">
        <f t="shared" si="4"/>
        <v>mww</v>
      </c>
      <c r="X85">
        <f t="shared" si="5"/>
        <v>2021</v>
      </c>
    </row>
    <row r="86" spans="1:24">
      <c r="A86" t="s">
        <v>212</v>
      </c>
      <c r="B86">
        <v>7.1</v>
      </c>
      <c r="C86" s="1">
        <v>44430.897916666669</v>
      </c>
      <c r="D86">
        <v>1</v>
      </c>
      <c r="E86">
        <v>4</v>
      </c>
      <c r="F86" t="s">
        <v>15</v>
      </c>
      <c r="G86">
        <v>1</v>
      </c>
      <c r="H86">
        <v>776</v>
      </c>
      <c r="I86" t="s">
        <v>46</v>
      </c>
      <c r="J86">
        <v>0</v>
      </c>
      <c r="K86">
        <v>9.7989999999999995</v>
      </c>
      <c r="L86">
        <v>32</v>
      </c>
      <c r="M86" t="s">
        <v>14</v>
      </c>
      <c r="N86">
        <v>6</v>
      </c>
      <c r="O86">
        <v>-60.302599999999998</v>
      </c>
      <c r="P86">
        <v>-24.999199999999998</v>
      </c>
      <c r="Q86" t="s">
        <v>213</v>
      </c>
      <c r="S86" t="s">
        <v>214</v>
      </c>
      <c r="U86" t="str">
        <f t="shared" si="3"/>
        <v>Named-region</v>
      </c>
      <c r="V86" t="str">
        <f t="shared" si="4"/>
        <v>mww</v>
      </c>
      <c r="X86">
        <f t="shared" si="5"/>
        <v>2021</v>
      </c>
    </row>
    <row r="87" spans="1:24">
      <c r="A87" t="s">
        <v>215</v>
      </c>
      <c r="B87">
        <v>6.6</v>
      </c>
      <c r="C87" s="1">
        <v>44430.03125</v>
      </c>
      <c r="D87">
        <v>1</v>
      </c>
      <c r="E87">
        <v>3</v>
      </c>
      <c r="F87" t="s">
        <v>15</v>
      </c>
      <c r="G87">
        <v>1</v>
      </c>
      <c r="H87">
        <v>670</v>
      </c>
      <c r="I87" t="s">
        <v>46</v>
      </c>
      <c r="J87">
        <v>0</v>
      </c>
      <c r="K87">
        <v>8.8650000000000002</v>
      </c>
      <c r="L87">
        <v>19</v>
      </c>
      <c r="M87" t="s">
        <v>14</v>
      </c>
      <c r="N87">
        <v>7</v>
      </c>
      <c r="O87">
        <v>-60.1023</v>
      </c>
      <c r="P87">
        <v>-24.460799999999999</v>
      </c>
      <c r="Q87" t="s">
        <v>213</v>
      </c>
      <c r="S87" t="s">
        <v>214</v>
      </c>
      <c r="U87" t="str">
        <f t="shared" si="3"/>
        <v>Named-region</v>
      </c>
      <c r="V87" t="str">
        <f t="shared" si="4"/>
        <v>mww</v>
      </c>
      <c r="X87">
        <f t="shared" si="5"/>
        <v>2021</v>
      </c>
    </row>
    <row r="88" spans="1:24">
      <c r="A88" t="s">
        <v>216</v>
      </c>
      <c r="B88">
        <v>6.9</v>
      </c>
      <c r="C88" s="1">
        <v>44426.423611111109</v>
      </c>
      <c r="D88">
        <v>8</v>
      </c>
      <c r="E88">
        <v>7</v>
      </c>
      <c r="F88" t="s">
        <v>15</v>
      </c>
      <c r="G88">
        <v>1</v>
      </c>
      <c r="H88">
        <v>741</v>
      </c>
      <c r="I88" t="s">
        <v>46</v>
      </c>
      <c r="J88">
        <v>0</v>
      </c>
      <c r="K88">
        <v>0.57899999999999996</v>
      </c>
      <c r="L88">
        <v>54</v>
      </c>
      <c r="M88" t="s">
        <v>14</v>
      </c>
      <c r="N88">
        <v>93</v>
      </c>
      <c r="O88">
        <v>-14.891999999999999</v>
      </c>
      <c r="P88">
        <v>167.08500000000001</v>
      </c>
      <c r="Q88" t="s">
        <v>101</v>
      </c>
      <c r="R88" t="s">
        <v>123</v>
      </c>
      <c r="S88" t="s">
        <v>48</v>
      </c>
      <c r="U88" t="str">
        <f t="shared" si="3"/>
        <v>N km direction of city</v>
      </c>
      <c r="V88" t="str">
        <f t="shared" si="4"/>
        <v>mww</v>
      </c>
      <c r="X88">
        <f t="shared" si="5"/>
        <v>2021</v>
      </c>
    </row>
    <row r="89" spans="1:24">
      <c r="A89" t="s">
        <v>217</v>
      </c>
      <c r="B89">
        <v>6.9</v>
      </c>
      <c r="C89" s="1">
        <v>44424.465277777781</v>
      </c>
      <c r="D89">
        <v>6</v>
      </c>
      <c r="E89">
        <v>4</v>
      </c>
      <c r="F89" t="s">
        <v>15</v>
      </c>
      <c r="G89">
        <v>1</v>
      </c>
      <c r="H89">
        <v>734</v>
      </c>
      <c r="I89" t="s">
        <v>46</v>
      </c>
      <c r="J89">
        <v>0</v>
      </c>
      <c r="K89">
        <v>8.3629999999999995</v>
      </c>
      <c r="L89">
        <v>48</v>
      </c>
      <c r="M89" t="s">
        <v>14</v>
      </c>
      <c r="N89">
        <v>16.7</v>
      </c>
      <c r="O89">
        <v>-58.381399999999999</v>
      </c>
      <c r="P89">
        <v>-23.331800000000001</v>
      </c>
      <c r="Q89" t="s">
        <v>213</v>
      </c>
      <c r="U89" t="str">
        <f t="shared" si="3"/>
        <v>Named-region</v>
      </c>
      <c r="V89" t="str">
        <f t="shared" si="4"/>
        <v>mww</v>
      </c>
      <c r="X89">
        <f t="shared" si="5"/>
        <v>2021</v>
      </c>
    </row>
    <row r="90" spans="1:24">
      <c r="A90" t="s">
        <v>218</v>
      </c>
      <c r="B90">
        <v>7.2</v>
      </c>
      <c r="C90" s="1">
        <v>44422.520138888889</v>
      </c>
      <c r="D90">
        <v>9</v>
      </c>
      <c r="E90">
        <v>8</v>
      </c>
      <c r="F90" t="s">
        <v>17</v>
      </c>
      <c r="G90">
        <v>1</v>
      </c>
      <c r="H90">
        <v>2331</v>
      </c>
      <c r="I90" t="s">
        <v>46</v>
      </c>
      <c r="J90">
        <v>0</v>
      </c>
      <c r="K90">
        <v>1.1779999999999999</v>
      </c>
      <c r="L90">
        <v>23</v>
      </c>
      <c r="M90" t="s">
        <v>14</v>
      </c>
      <c r="N90">
        <v>10</v>
      </c>
      <c r="O90">
        <v>18.3521</v>
      </c>
      <c r="P90">
        <v>-73.480400000000003</v>
      </c>
      <c r="Q90" t="s">
        <v>219</v>
      </c>
      <c r="R90" t="s">
        <v>139</v>
      </c>
      <c r="S90" t="s">
        <v>220</v>
      </c>
      <c r="U90" t="str">
        <f t="shared" si="3"/>
        <v>Named-region</v>
      </c>
      <c r="V90" t="str">
        <f t="shared" si="4"/>
        <v>mww</v>
      </c>
      <c r="X90">
        <f t="shared" si="5"/>
        <v>2021</v>
      </c>
    </row>
    <row r="91" spans="1:24">
      <c r="A91" t="s">
        <v>221</v>
      </c>
      <c r="B91">
        <v>6.9</v>
      </c>
      <c r="C91" s="1">
        <v>44422.497916666667</v>
      </c>
      <c r="D91">
        <v>5</v>
      </c>
      <c r="E91">
        <v>4</v>
      </c>
      <c r="F91" t="s">
        <v>15</v>
      </c>
      <c r="G91">
        <v>1</v>
      </c>
      <c r="H91">
        <v>738</v>
      </c>
      <c r="I91" t="s">
        <v>202</v>
      </c>
      <c r="J91">
        <v>0</v>
      </c>
      <c r="K91">
        <v>0</v>
      </c>
      <c r="L91">
        <v>0</v>
      </c>
      <c r="M91" t="s">
        <v>14</v>
      </c>
      <c r="N91">
        <v>33.299999999999997</v>
      </c>
      <c r="O91">
        <v>55.236400000000003</v>
      </c>
      <c r="P91">
        <v>-157.70699999999999</v>
      </c>
      <c r="Q91" t="s">
        <v>222</v>
      </c>
      <c r="U91" t="str">
        <f t="shared" si="3"/>
        <v>N km direction of city</v>
      </c>
      <c r="V91" t="str">
        <f t="shared" si="4"/>
        <v>mww</v>
      </c>
      <c r="X91">
        <f t="shared" si="5"/>
        <v>2021</v>
      </c>
    </row>
    <row r="92" spans="1:24">
      <c r="A92" t="s">
        <v>223</v>
      </c>
      <c r="B92">
        <v>6.9</v>
      </c>
      <c r="C92" s="1">
        <v>44422.497916666667</v>
      </c>
      <c r="D92">
        <v>5</v>
      </c>
      <c r="E92">
        <v>4</v>
      </c>
      <c r="F92" t="s">
        <v>15</v>
      </c>
      <c r="G92">
        <v>1</v>
      </c>
      <c r="H92">
        <v>738</v>
      </c>
      <c r="I92" t="s">
        <v>46</v>
      </c>
      <c r="J92">
        <v>0</v>
      </c>
      <c r="K92">
        <v>1.173</v>
      </c>
      <c r="L92">
        <v>36</v>
      </c>
      <c r="M92" t="s">
        <v>14</v>
      </c>
      <c r="N92">
        <v>20.74</v>
      </c>
      <c r="O92">
        <v>55.265700000000002</v>
      </c>
      <c r="P92">
        <v>-157.68</v>
      </c>
      <c r="Q92" t="s">
        <v>222</v>
      </c>
      <c r="U92" t="str">
        <f t="shared" si="3"/>
        <v>N km direction of city</v>
      </c>
      <c r="V92" t="str">
        <f t="shared" si="4"/>
        <v>mww</v>
      </c>
      <c r="X92">
        <f t="shared" si="5"/>
        <v>2021</v>
      </c>
    </row>
    <row r="93" spans="1:24">
      <c r="A93" t="s">
        <v>224</v>
      </c>
      <c r="B93">
        <v>8.1</v>
      </c>
      <c r="C93" s="1">
        <v>44420.774305555547</v>
      </c>
      <c r="D93">
        <v>0</v>
      </c>
      <c r="E93">
        <v>7</v>
      </c>
      <c r="F93" t="s">
        <v>15</v>
      </c>
      <c r="G93">
        <v>0</v>
      </c>
      <c r="H93">
        <v>1009</v>
      </c>
      <c r="I93" t="s">
        <v>46</v>
      </c>
      <c r="J93">
        <v>0</v>
      </c>
      <c r="K93">
        <v>7.4630000000000001</v>
      </c>
      <c r="L93">
        <v>78</v>
      </c>
      <c r="M93" t="s">
        <v>14</v>
      </c>
      <c r="N93">
        <v>22.79</v>
      </c>
      <c r="O93">
        <v>-58.415700000000001</v>
      </c>
      <c r="P93">
        <v>-25.320599999999999</v>
      </c>
      <c r="Q93" t="s">
        <v>213</v>
      </c>
      <c r="U93" t="str">
        <f t="shared" si="3"/>
        <v>Named-region</v>
      </c>
      <c r="V93" t="str">
        <f t="shared" si="4"/>
        <v>mww</v>
      </c>
      <c r="X93">
        <f t="shared" si="5"/>
        <v>2021</v>
      </c>
    </row>
    <row r="94" spans="1:24">
      <c r="A94" t="s">
        <v>225</v>
      </c>
      <c r="B94">
        <v>7.5</v>
      </c>
      <c r="C94" s="1">
        <v>44420.772222222222</v>
      </c>
      <c r="D94">
        <v>9</v>
      </c>
      <c r="E94">
        <v>6</v>
      </c>
      <c r="F94" t="s">
        <v>15</v>
      </c>
      <c r="G94">
        <v>1</v>
      </c>
      <c r="H94">
        <v>868</v>
      </c>
      <c r="I94" t="s">
        <v>46</v>
      </c>
      <c r="J94">
        <v>0</v>
      </c>
      <c r="K94">
        <v>7.2270000000000003</v>
      </c>
      <c r="L94">
        <v>38</v>
      </c>
      <c r="M94" t="s">
        <v>14</v>
      </c>
      <c r="N94">
        <v>47.23</v>
      </c>
      <c r="O94">
        <v>-57.5959</v>
      </c>
      <c r="P94">
        <v>-25.1874</v>
      </c>
      <c r="Q94" t="s">
        <v>213</v>
      </c>
      <c r="U94" t="str">
        <f t="shared" si="3"/>
        <v>Named-region</v>
      </c>
      <c r="V94" t="str">
        <f t="shared" si="4"/>
        <v>mww</v>
      </c>
      <c r="X94">
        <f t="shared" si="5"/>
        <v>2021</v>
      </c>
    </row>
    <row r="95" spans="1:24">
      <c r="A95" t="s">
        <v>226</v>
      </c>
      <c r="B95">
        <v>7.1</v>
      </c>
      <c r="C95" s="1">
        <v>44419.740277777782</v>
      </c>
      <c r="D95">
        <v>9</v>
      </c>
      <c r="E95">
        <v>7</v>
      </c>
      <c r="F95" t="s">
        <v>15</v>
      </c>
      <c r="G95">
        <v>1</v>
      </c>
      <c r="H95">
        <v>846</v>
      </c>
      <c r="I95" t="s">
        <v>46</v>
      </c>
      <c r="J95">
        <v>0</v>
      </c>
      <c r="K95">
        <v>1.2729999999999999</v>
      </c>
      <c r="L95">
        <v>25</v>
      </c>
      <c r="M95" t="s">
        <v>14</v>
      </c>
      <c r="N95">
        <v>55.14</v>
      </c>
      <c r="O95">
        <v>6.4546999999999999</v>
      </c>
      <c r="P95">
        <v>126.742</v>
      </c>
      <c r="Q95" t="s">
        <v>227</v>
      </c>
      <c r="U95" t="str">
        <f t="shared" si="3"/>
        <v>N km direction of city</v>
      </c>
      <c r="V95" t="str">
        <f t="shared" si="4"/>
        <v>mww</v>
      </c>
      <c r="X95">
        <f t="shared" si="5"/>
        <v>2021</v>
      </c>
    </row>
    <row r="96" spans="1:24">
      <c r="A96" t="s">
        <v>228</v>
      </c>
      <c r="B96">
        <v>8.1999999999999993</v>
      </c>
      <c r="C96" s="1">
        <v>44406.260416666657</v>
      </c>
      <c r="D96">
        <v>8</v>
      </c>
      <c r="E96">
        <v>6</v>
      </c>
      <c r="F96" t="s">
        <v>15</v>
      </c>
      <c r="G96">
        <v>1</v>
      </c>
      <c r="H96">
        <v>1237</v>
      </c>
      <c r="I96" t="s">
        <v>46</v>
      </c>
      <c r="J96">
        <v>0</v>
      </c>
      <c r="K96">
        <v>0.875</v>
      </c>
      <c r="L96">
        <v>66</v>
      </c>
      <c r="M96" t="s">
        <v>14</v>
      </c>
      <c r="N96">
        <v>46.66</v>
      </c>
      <c r="O96">
        <v>55.474200000000003</v>
      </c>
      <c r="P96">
        <v>-157.917</v>
      </c>
      <c r="Q96" t="s">
        <v>222</v>
      </c>
      <c r="U96" t="str">
        <f t="shared" si="3"/>
        <v>N km direction of city</v>
      </c>
      <c r="V96" t="str">
        <f t="shared" si="4"/>
        <v>mww</v>
      </c>
      <c r="X96">
        <f t="shared" si="5"/>
        <v>2021</v>
      </c>
    </row>
    <row r="97" spans="1:24">
      <c r="A97" t="s">
        <v>229</v>
      </c>
      <c r="B97">
        <v>8.1999999999999993</v>
      </c>
      <c r="C97" s="1">
        <v>44406.260416666657</v>
      </c>
      <c r="D97">
        <v>8</v>
      </c>
      <c r="E97">
        <v>7</v>
      </c>
      <c r="F97" t="s">
        <v>18</v>
      </c>
      <c r="G97">
        <v>1</v>
      </c>
      <c r="H97">
        <v>1252</v>
      </c>
      <c r="I97" t="s">
        <v>202</v>
      </c>
      <c r="J97">
        <v>0</v>
      </c>
      <c r="K97">
        <v>0</v>
      </c>
      <c r="L97">
        <v>0</v>
      </c>
      <c r="M97" t="s">
        <v>14</v>
      </c>
      <c r="N97">
        <v>35</v>
      </c>
      <c r="O97">
        <v>55.315399999999997</v>
      </c>
      <c r="P97">
        <v>-157.82900000000001</v>
      </c>
      <c r="Q97" t="s">
        <v>222</v>
      </c>
      <c r="U97" t="str">
        <f t="shared" si="3"/>
        <v>N km direction of city</v>
      </c>
      <c r="V97" t="str">
        <f t="shared" si="4"/>
        <v>mww</v>
      </c>
      <c r="X97">
        <f t="shared" si="5"/>
        <v>2021</v>
      </c>
    </row>
    <row r="98" spans="1:24">
      <c r="A98" t="s">
        <v>230</v>
      </c>
      <c r="B98">
        <v>6.7</v>
      </c>
      <c r="C98" s="1">
        <v>44400.866666666669</v>
      </c>
      <c r="D98">
        <v>8</v>
      </c>
      <c r="E98">
        <v>5</v>
      </c>
      <c r="F98" t="s">
        <v>15</v>
      </c>
      <c r="G98">
        <v>1</v>
      </c>
      <c r="H98">
        <v>935</v>
      </c>
      <c r="I98" t="s">
        <v>46</v>
      </c>
      <c r="J98">
        <v>0</v>
      </c>
      <c r="K98">
        <v>8.1389999999999993</v>
      </c>
      <c r="L98">
        <v>12</v>
      </c>
      <c r="M98" t="s">
        <v>14</v>
      </c>
      <c r="N98">
        <v>110</v>
      </c>
      <c r="O98">
        <v>13.6989</v>
      </c>
      <c r="P98">
        <v>120.71299999999999</v>
      </c>
      <c r="Q98" t="s">
        <v>231</v>
      </c>
      <c r="R98" t="s">
        <v>85</v>
      </c>
      <c r="S98" t="s">
        <v>158</v>
      </c>
      <c r="U98" t="str">
        <f t="shared" si="3"/>
        <v>N km direction of city</v>
      </c>
      <c r="V98" t="str">
        <f t="shared" si="4"/>
        <v>mww</v>
      </c>
      <c r="X98">
        <f t="shared" si="5"/>
        <v>2021</v>
      </c>
    </row>
    <row r="99" spans="1:24">
      <c r="A99" t="s">
        <v>232</v>
      </c>
      <c r="B99">
        <v>6.7</v>
      </c>
      <c r="C99" s="1">
        <v>44398.885416666657</v>
      </c>
      <c r="D99">
        <v>6</v>
      </c>
      <c r="E99">
        <v>6</v>
      </c>
      <c r="F99" t="s">
        <v>15</v>
      </c>
      <c r="G99">
        <v>1</v>
      </c>
      <c r="H99">
        <v>830</v>
      </c>
      <c r="I99" t="s">
        <v>46</v>
      </c>
      <c r="J99">
        <v>0</v>
      </c>
      <c r="K99">
        <v>1.395</v>
      </c>
      <c r="L99">
        <v>61</v>
      </c>
      <c r="M99" t="s">
        <v>14</v>
      </c>
      <c r="N99">
        <v>10</v>
      </c>
      <c r="O99">
        <v>7.5903999999999998</v>
      </c>
      <c r="P99">
        <v>-82.881299999999996</v>
      </c>
      <c r="Q99" t="s">
        <v>233</v>
      </c>
      <c r="U99" t="str">
        <f t="shared" si="3"/>
        <v>N km direction of city</v>
      </c>
      <c r="V99" t="str">
        <f t="shared" si="4"/>
        <v>mww</v>
      </c>
      <c r="X99">
        <f t="shared" si="5"/>
        <v>2021</v>
      </c>
    </row>
    <row r="100" spans="1:24">
      <c r="A100" t="s">
        <v>234</v>
      </c>
      <c r="B100">
        <v>6.5</v>
      </c>
      <c r="C100" s="1">
        <v>44367.711805555547</v>
      </c>
      <c r="D100">
        <v>0</v>
      </c>
      <c r="E100">
        <v>4</v>
      </c>
      <c r="F100" t="s">
        <v>15</v>
      </c>
      <c r="G100">
        <v>1</v>
      </c>
      <c r="H100">
        <v>650</v>
      </c>
      <c r="I100" t="s">
        <v>46</v>
      </c>
      <c r="J100">
        <v>0</v>
      </c>
      <c r="K100">
        <v>7.9939999999999998</v>
      </c>
      <c r="L100">
        <v>24</v>
      </c>
      <c r="M100" t="s">
        <v>14</v>
      </c>
      <c r="N100">
        <v>25</v>
      </c>
      <c r="O100">
        <v>-30.214400000000001</v>
      </c>
      <c r="P100">
        <v>-177.773</v>
      </c>
      <c r="Q100" t="s">
        <v>79</v>
      </c>
      <c r="U100" t="str">
        <f t="shared" si="3"/>
        <v>Named-region</v>
      </c>
      <c r="V100" t="str">
        <f t="shared" si="4"/>
        <v>mww</v>
      </c>
      <c r="X100">
        <f t="shared" si="5"/>
        <v>2021</v>
      </c>
    </row>
    <row r="101" spans="1:24">
      <c r="A101" t="s">
        <v>235</v>
      </c>
      <c r="B101">
        <v>6.5</v>
      </c>
      <c r="C101" s="1">
        <v>44337.925694444442</v>
      </c>
      <c r="D101">
        <v>5</v>
      </c>
      <c r="E101">
        <v>7</v>
      </c>
      <c r="F101" t="s">
        <v>15</v>
      </c>
      <c r="G101">
        <v>1</v>
      </c>
      <c r="H101">
        <v>652</v>
      </c>
      <c r="I101" t="s">
        <v>46</v>
      </c>
      <c r="J101">
        <v>0</v>
      </c>
      <c r="K101">
        <v>4.5179999999999998</v>
      </c>
      <c r="L101">
        <v>44</v>
      </c>
      <c r="M101" t="s">
        <v>14</v>
      </c>
      <c r="N101">
        <v>10</v>
      </c>
      <c r="O101">
        <v>-16.479600000000001</v>
      </c>
      <c r="P101">
        <v>-177.35599999999999</v>
      </c>
      <c r="Q101" t="s">
        <v>236</v>
      </c>
      <c r="U101" t="str">
        <f t="shared" si="3"/>
        <v>N km direction of city</v>
      </c>
      <c r="V101" t="str">
        <f t="shared" si="4"/>
        <v>mww</v>
      </c>
      <c r="X101">
        <f t="shared" si="5"/>
        <v>2021</v>
      </c>
    </row>
    <row r="102" spans="1:24">
      <c r="A102" t="s">
        <v>237</v>
      </c>
      <c r="B102">
        <v>7.3</v>
      </c>
      <c r="C102" s="1">
        <v>44337.75277777778</v>
      </c>
      <c r="D102">
        <v>9</v>
      </c>
      <c r="E102">
        <v>9</v>
      </c>
      <c r="F102" t="s">
        <v>16</v>
      </c>
      <c r="G102">
        <v>0</v>
      </c>
      <c r="H102">
        <v>1025</v>
      </c>
      <c r="I102" t="s">
        <v>46</v>
      </c>
      <c r="J102">
        <v>0</v>
      </c>
      <c r="K102">
        <v>4.6550000000000002</v>
      </c>
      <c r="L102">
        <v>9</v>
      </c>
      <c r="M102" t="s">
        <v>14</v>
      </c>
      <c r="N102">
        <v>10</v>
      </c>
      <c r="O102">
        <v>34.586100000000002</v>
      </c>
      <c r="P102">
        <v>98.255099999999999</v>
      </c>
      <c r="Q102" t="s">
        <v>238</v>
      </c>
      <c r="R102" t="s">
        <v>85</v>
      </c>
      <c r="S102" t="s">
        <v>153</v>
      </c>
      <c r="U102" t="str">
        <f t="shared" si="3"/>
        <v>Named-region</v>
      </c>
      <c r="V102" t="str">
        <f t="shared" si="4"/>
        <v>mww</v>
      </c>
      <c r="X102">
        <f t="shared" si="5"/>
        <v>2021</v>
      </c>
    </row>
    <row r="103" spans="1:24">
      <c r="A103" t="s">
        <v>239</v>
      </c>
      <c r="B103">
        <v>6.7</v>
      </c>
      <c r="C103" s="1">
        <v>44330.272916666669</v>
      </c>
      <c r="D103">
        <v>8</v>
      </c>
      <c r="E103">
        <v>4</v>
      </c>
      <c r="F103" t="s">
        <v>15</v>
      </c>
      <c r="G103">
        <v>0</v>
      </c>
      <c r="H103">
        <v>698</v>
      </c>
      <c r="I103" t="s">
        <v>46</v>
      </c>
      <c r="J103">
        <v>0</v>
      </c>
      <c r="K103">
        <v>1.4870000000000001</v>
      </c>
      <c r="L103">
        <v>37</v>
      </c>
      <c r="M103" t="s">
        <v>14</v>
      </c>
      <c r="N103">
        <v>11</v>
      </c>
      <c r="O103">
        <v>0.16839999999999999</v>
      </c>
      <c r="P103">
        <v>96.647499999999994</v>
      </c>
      <c r="Q103" t="s">
        <v>240</v>
      </c>
      <c r="U103" t="str">
        <f t="shared" si="3"/>
        <v>N km direction of city</v>
      </c>
      <c r="V103" t="str">
        <f t="shared" si="4"/>
        <v>mww</v>
      </c>
      <c r="X103">
        <f t="shared" si="5"/>
        <v>2021</v>
      </c>
    </row>
    <row r="104" spans="1:24">
      <c r="A104" t="s">
        <v>241</v>
      </c>
      <c r="B104">
        <v>6.7</v>
      </c>
      <c r="C104" s="1">
        <v>44328.586805555547</v>
      </c>
      <c r="D104">
        <v>9</v>
      </c>
      <c r="E104">
        <v>3</v>
      </c>
      <c r="F104" t="s">
        <v>15</v>
      </c>
      <c r="G104">
        <v>0</v>
      </c>
      <c r="H104">
        <v>694</v>
      </c>
      <c r="I104" t="s">
        <v>46</v>
      </c>
      <c r="J104">
        <v>0</v>
      </c>
      <c r="K104">
        <v>10.669</v>
      </c>
      <c r="L104">
        <v>45</v>
      </c>
      <c r="M104" t="s">
        <v>14</v>
      </c>
      <c r="N104">
        <v>10</v>
      </c>
      <c r="O104">
        <v>-17.249500000000001</v>
      </c>
      <c r="P104">
        <v>66.374499999999998</v>
      </c>
      <c r="Q104" t="s">
        <v>242</v>
      </c>
      <c r="U104" t="str">
        <f t="shared" si="3"/>
        <v>Named-region</v>
      </c>
      <c r="V104" t="str">
        <f t="shared" si="4"/>
        <v>mww</v>
      </c>
      <c r="X104">
        <f t="shared" si="5"/>
        <v>2021</v>
      </c>
    </row>
    <row r="105" spans="1:24">
      <c r="A105" t="s">
        <v>165</v>
      </c>
      <c r="B105">
        <v>6.9</v>
      </c>
      <c r="C105" s="1">
        <v>44317.060416666667</v>
      </c>
      <c r="D105">
        <v>7</v>
      </c>
      <c r="E105">
        <v>6</v>
      </c>
      <c r="F105" t="s">
        <v>15</v>
      </c>
      <c r="G105">
        <v>1</v>
      </c>
      <c r="H105">
        <v>919</v>
      </c>
      <c r="I105" t="s">
        <v>46</v>
      </c>
      <c r="J105">
        <v>0</v>
      </c>
      <c r="K105">
        <v>2.6190000000000002</v>
      </c>
      <c r="L105">
        <v>35</v>
      </c>
      <c r="M105" t="s">
        <v>14</v>
      </c>
      <c r="N105">
        <v>43</v>
      </c>
      <c r="O105">
        <v>38.229599999999998</v>
      </c>
      <c r="P105">
        <v>141.66499999999999</v>
      </c>
      <c r="R105" t="s">
        <v>85</v>
      </c>
      <c r="S105" t="s">
        <v>243</v>
      </c>
      <c r="U105" t="str">
        <f t="shared" si="3"/>
        <v>Named-region</v>
      </c>
      <c r="V105" t="str">
        <f t="shared" si="4"/>
        <v>mww</v>
      </c>
      <c r="X105">
        <f t="shared" si="5"/>
        <v>2021</v>
      </c>
    </row>
    <row r="106" spans="1:24">
      <c r="A106" t="s">
        <v>244</v>
      </c>
      <c r="B106">
        <v>6.5</v>
      </c>
      <c r="C106" s="1">
        <v>44311.936111111107</v>
      </c>
      <c r="D106">
        <v>4</v>
      </c>
      <c r="E106">
        <v>4</v>
      </c>
      <c r="F106" t="s">
        <v>15</v>
      </c>
      <c r="G106">
        <v>0</v>
      </c>
      <c r="H106">
        <v>651</v>
      </c>
      <c r="I106" t="s">
        <v>46</v>
      </c>
      <c r="J106">
        <v>0</v>
      </c>
      <c r="K106">
        <v>5.931</v>
      </c>
      <c r="L106">
        <v>20</v>
      </c>
      <c r="M106" t="s">
        <v>14</v>
      </c>
      <c r="N106">
        <v>246</v>
      </c>
      <c r="O106">
        <v>-21.685700000000001</v>
      </c>
      <c r="P106">
        <v>-177.06399999999999</v>
      </c>
      <c r="Q106" t="s">
        <v>245</v>
      </c>
      <c r="U106" t="str">
        <f t="shared" si="3"/>
        <v>N km direction of city</v>
      </c>
      <c r="V106" t="str">
        <f t="shared" si="4"/>
        <v>mww</v>
      </c>
      <c r="X106">
        <f t="shared" si="5"/>
        <v>2021</v>
      </c>
    </row>
    <row r="107" spans="1:24">
      <c r="A107" t="s">
        <v>246</v>
      </c>
      <c r="B107">
        <v>6.5</v>
      </c>
      <c r="C107" s="1">
        <v>44310.015972222223</v>
      </c>
      <c r="D107">
        <v>6</v>
      </c>
      <c r="E107">
        <v>4</v>
      </c>
      <c r="F107" t="s">
        <v>15</v>
      </c>
      <c r="G107">
        <v>0</v>
      </c>
      <c r="H107">
        <v>652</v>
      </c>
      <c r="I107" t="s">
        <v>46</v>
      </c>
      <c r="J107">
        <v>0</v>
      </c>
      <c r="K107">
        <v>10.404999999999999</v>
      </c>
      <c r="L107">
        <v>19</v>
      </c>
      <c r="M107" t="s">
        <v>14</v>
      </c>
      <c r="N107">
        <v>301</v>
      </c>
      <c r="O107">
        <v>-18.920400000000001</v>
      </c>
      <c r="P107">
        <v>-176.23500000000001</v>
      </c>
      <c r="Q107" t="s">
        <v>247</v>
      </c>
      <c r="U107" t="str">
        <f t="shared" si="3"/>
        <v>N km direction of city</v>
      </c>
      <c r="V107" t="str">
        <f t="shared" si="4"/>
        <v>mww</v>
      </c>
      <c r="X107">
        <f t="shared" si="5"/>
        <v>2021</v>
      </c>
    </row>
    <row r="108" spans="1:24">
      <c r="A108" t="s">
        <v>248</v>
      </c>
      <c r="B108">
        <v>7</v>
      </c>
      <c r="C108" s="1">
        <v>44275.381249999999</v>
      </c>
      <c r="D108">
        <v>7</v>
      </c>
      <c r="E108">
        <v>7</v>
      </c>
      <c r="F108" t="s">
        <v>18</v>
      </c>
      <c r="G108">
        <v>1</v>
      </c>
      <c r="H108">
        <v>1052</v>
      </c>
      <c r="I108" t="s">
        <v>46</v>
      </c>
      <c r="J108">
        <v>0</v>
      </c>
      <c r="K108">
        <v>2.3780000000000001</v>
      </c>
      <c r="L108">
        <v>35</v>
      </c>
      <c r="M108" t="s">
        <v>14</v>
      </c>
      <c r="N108">
        <v>43</v>
      </c>
      <c r="O108">
        <v>38.475200000000001</v>
      </c>
      <c r="P108">
        <v>141.607</v>
      </c>
      <c r="Q108" t="s">
        <v>249</v>
      </c>
      <c r="R108" t="s">
        <v>85</v>
      </c>
      <c r="S108" t="s">
        <v>243</v>
      </c>
      <c r="U108" t="str">
        <f t="shared" si="3"/>
        <v>N km direction of city</v>
      </c>
      <c r="V108" t="str">
        <f t="shared" si="4"/>
        <v>mww</v>
      </c>
      <c r="X108">
        <f t="shared" si="5"/>
        <v>2021</v>
      </c>
    </row>
    <row r="109" spans="1:24">
      <c r="A109" t="s">
        <v>250</v>
      </c>
      <c r="B109">
        <v>6.6</v>
      </c>
      <c r="C109" s="1">
        <v>44271.776388888888</v>
      </c>
      <c r="D109">
        <v>5</v>
      </c>
      <c r="E109">
        <v>5</v>
      </c>
      <c r="F109" t="s">
        <v>15</v>
      </c>
      <c r="G109">
        <v>1</v>
      </c>
      <c r="H109">
        <v>672</v>
      </c>
      <c r="I109" t="s">
        <v>46</v>
      </c>
      <c r="J109">
        <v>0</v>
      </c>
      <c r="K109">
        <v>3.1829999999999998</v>
      </c>
      <c r="L109">
        <v>18</v>
      </c>
      <c r="M109" t="s">
        <v>14</v>
      </c>
      <c r="N109">
        <v>13.23</v>
      </c>
      <c r="O109">
        <v>54.701799999999999</v>
      </c>
      <c r="P109">
        <v>163.208</v>
      </c>
      <c r="Q109" t="s">
        <v>251</v>
      </c>
      <c r="U109" t="str">
        <f t="shared" si="3"/>
        <v>N km direction of city</v>
      </c>
      <c r="V109" t="str">
        <f t="shared" si="4"/>
        <v>mww</v>
      </c>
      <c r="X109">
        <f t="shared" si="5"/>
        <v>2021</v>
      </c>
    </row>
    <row r="110" spans="1:24">
      <c r="A110" t="s">
        <v>181</v>
      </c>
      <c r="B110">
        <v>6.5</v>
      </c>
      <c r="C110" s="1">
        <v>44259.966666666667</v>
      </c>
      <c r="D110">
        <v>0</v>
      </c>
      <c r="E110">
        <v>4</v>
      </c>
      <c r="F110" t="s">
        <v>15</v>
      </c>
      <c r="G110">
        <v>0</v>
      </c>
      <c r="H110">
        <v>650</v>
      </c>
      <c r="I110" t="s">
        <v>46</v>
      </c>
      <c r="J110">
        <v>0</v>
      </c>
      <c r="K110">
        <v>11.763999999999999</v>
      </c>
      <c r="L110">
        <v>25</v>
      </c>
      <c r="M110" t="s">
        <v>12</v>
      </c>
      <c r="N110">
        <v>24</v>
      </c>
      <c r="O110">
        <v>-28.479199999999999</v>
      </c>
      <c r="P110">
        <v>-176.619</v>
      </c>
      <c r="Q110" t="s">
        <v>98</v>
      </c>
      <c r="U110" t="str">
        <f t="shared" si="3"/>
        <v>Named-region</v>
      </c>
      <c r="V110" t="str">
        <f t="shared" si="4"/>
        <v>mwb</v>
      </c>
      <c r="X110">
        <f t="shared" si="5"/>
        <v>2021</v>
      </c>
    </row>
    <row r="111" spans="1:24">
      <c r="A111" t="s">
        <v>252</v>
      </c>
      <c r="B111">
        <v>8.1</v>
      </c>
      <c r="C111" s="1">
        <v>44259.811111111107</v>
      </c>
      <c r="D111">
        <v>9</v>
      </c>
      <c r="E111">
        <v>8</v>
      </c>
      <c r="F111" t="s">
        <v>15</v>
      </c>
      <c r="G111">
        <v>1</v>
      </c>
      <c r="H111">
        <v>1021</v>
      </c>
      <c r="I111" t="s">
        <v>46</v>
      </c>
      <c r="J111">
        <v>0</v>
      </c>
      <c r="K111">
        <v>0.73899999999999999</v>
      </c>
      <c r="L111">
        <v>21</v>
      </c>
      <c r="M111" t="s">
        <v>14</v>
      </c>
      <c r="N111">
        <v>28.93</v>
      </c>
      <c r="O111">
        <v>-29.746600000000001</v>
      </c>
      <c r="P111">
        <v>-177.22399999999999</v>
      </c>
      <c r="Q111" t="s">
        <v>79</v>
      </c>
      <c r="U111" t="str">
        <f t="shared" si="3"/>
        <v>Named-region</v>
      </c>
      <c r="V111" t="str">
        <f t="shared" si="4"/>
        <v>mww</v>
      </c>
      <c r="X111">
        <f t="shared" si="5"/>
        <v>2021</v>
      </c>
    </row>
    <row r="112" spans="1:24">
      <c r="A112" t="s">
        <v>253</v>
      </c>
      <c r="B112">
        <v>7.4</v>
      </c>
      <c r="C112" s="1">
        <v>44259.736805555563</v>
      </c>
      <c r="D112">
        <v>3</v>
      </c>
      <c r="E112">
        <v>7</v>
      </c>
      <c r="F112" t="s">
        <v>15</v>
      </c>
      <c r="G112">
        <v>1</v>
      </c>
      <c r="H112">
        <v>843</v>
      </c>
      <c r="I112" t="s">
        <v>46</v>
      </c>
      <c r="J112">
        <v>0</v>
      </c>
      <c r="K112">
        <v>0.437</v>
      </c>
      <c r="L112">
        <v>30</v>
      </c>
      <c r="M112" t="s">
        <v>14</v>
      </c>
      <c r="N112">
        <v>43</v>
      </c>
      <c r="O112">
        <v>-29.613099999999999</v>
      </c>
      <c r="P112">
        <v>-177.84200000000001</v>
      </c>
      <c r="Q112" t="s">
        <v>79</v>
      </c>
      <c r="U112" t="str">
        <f t="shared" si="3"/>
        <v>Named-region</v>
      </c>
      <c r="V112" t="str">
        <f t="shared" si="4"/>
        <v>mww</v>
      </c>
      <c r="X112">
        <f t="shared" si="5"/>
        <v>2021</v>
      </c>
    </row>
    <row r="113" spans="1:24">
      <c r="A113" t="s">
        <v>254</v>
      </c>
      <c r="B113">
        <v>7.3</v>
      </c>
      <c r="C113" s="1">
        <v>44259.560416666667</v>
      </c>
      <c r="D113">
        <v>7</v>
      </c>
      <c r="E113">
        <v>6</v>
      </c>
      <c r="F113" t="s">
        <v>15</v>
      </c>
      <c r="G113">
        <v>1</v>
      </c>
      <c r="H113">
        <v>932</v>
      </c>
      <c r="I113" t="s">
        <v>46</v>
      </c>
      <c r="J113">
        <v>0</v>
      </c>
      <c r="K113">
        <v>0.91800000000000004</v>
      </c>
      <c r="L113">
        <v>24</v>
      </c>
      <c r="M113" t="s">
        <v>14</v>
      </c>
      <c r="N113">
        <v>10</v>
      </c>
      <c r="O113">
        <v>-37.595999999999997</v>
      </c>
      <c r="P113">
        <v>179.54400000000001</v>
      </c>
      <c r="Q113" t="s">
        <v>255</v>
      </c>
      <c r="U113" t="str">
        <f t="shared" si="3"/>
        <v>N km direction of city</v>
      </c>
      <c r="V113" t="str">
        <f t="shared" si="4"/>
        <v>mww</v>
      </c>
      <c r="X113">
        <f t="shared" si="5"/>
        <v>2021</v>
      </c>
    </row>
    <row r="114" spans="1:24">
      <c r="A114" t="s">
        <v>256</v>
      </c>
      <c r="B114">
        <v>7.1</v>
      </c>
      <c r="C114" s="1">
        <v>44240.588194444441</v>
      </c>
      <c r="D114">
        <v>9</v>
      </c>
      <c r="E114">
        <v>8</v>
      </c>
      <c r="F114" t="s">
        <v>16</v>
      </c>
      <c r="G114">
        <v>1</v>
      </c>
      <c r="H114">
        <v>1612</v>
      </c>
      <c r="I114" t="s">
        <v>46</v>
      </c>
      <c r="J114">
        <v>0</v>
      </c>
      <c r="K114">
        <v>3.085</v>
      </c>
      <c r="L114">
        <v>11</v>
      </c>
      <c r="M114" t="s">
        <v>14</v>
      </c>
      <c r="N114">
        <v>43.98</v>
      </c>
      <c r="O114">
        <v>37.685600000000001</v>
      </c>
      <c r="P114">
        <v>141.99199999999999</v>
      </c>
      <c r="Q114" t="s">
        <v>175</v>
      </c>
      <c r="U114" t="str">
        <f t="shared" si="3"/>
        <v>N km direction of city</v>
      </c>
      <c r="V114" t="str">
        <f t="shared" si="4"/>
        <v>mww</v>
      </c>
      <c r="X114">
        <f t="shared" si="5"/>
        <v>2021</v>
      </c>
    </row>
    <row r="115" spans="1:24">
      <c r="A115" t="s">
        <v>71</v>
      </c>
      <c r="B115">
        <v>7.7</v>
      </c>
      <c r="C115" s="1">
        <v>44237.554861111108</v>
      </c>
      <c r="D115">
        <v>9</v>
      </c>
      <c r="E115">
        <v>4</v>
      </c>
      <c r="F115" t="s">
        <v>15</v>
      </c>
      <c r="G115">
        <v>1</v>
      </c>
      <c r="H115">
        <v>918</v>
      </c>
      <c r="I115" t="s">
        <v>46</v>
      </c>
      <c r="J115">
        <v>0</v>
      </c>
      <c r="K115">
        <v>7.9889999999999999</v>
      </c>
      <c r="L115">
        <v>15</v>
      </c>
      <c r="M115" t="s">
        <v>14</v>
      </c>
      <c r="N115">
        <v>10</v>
      </c>
      <c r="O115">
        <v>-23.278700000000001</v>
      </c>
      <c r="P115">
        <v>171.489</v>
      </c>
      <c r="Q115" t="s">
        <v>70</v>
      </c>
      <c r="U115" t="str">
        <f t="shared" si="3"/>
        <v>Named-region</v>
      </c>
      <c r="V115" t="str">
        <f t="shared" si="4"/>
        <v>mww</v>
      </c>
      <c r="X115">
        <f t="shared" si="5"/>
        <v>2021</v>
      </c>
    </row>
    <row r="116" spans="1:24">
      <c r="A116" t="s">
        <v>257</v>
      </c>
      <c r="B116">
        <v>6.9</v>
      </c>
      <c r="C116" s="1">
        <v>44219.98333333333</v>
      </c>
      <c r="D116">
        <v>9</v>
      </c>
      <c r="E116">
        <v>5</v>
      </c>
      <c r="F116" t="s">
        <v>15</v>
      </c>
      <c r="G116">
        <v>1</v>
      </c>
      <c r="H116">
        <v>739</v>
      </c>
      <c r="I116" t="s">
        <v>46</v>
      </c>
      <c r="J116">
        <v>0</v>
      </c>
      <c r="K116">
        <v>1.55</v>
      </c>
      <c r="L116">
        <v>16</v>
      </c>
      <c r="M116" t="s">
        <v>14</v>
      </c>
      <c r="N116">
        <v>15</v>
      </c>
      <c r="O116">
        <v>-61.848399999999998</v>
      </c>
      <c r="P116">
        <v>-55.558999999999997</v>
      </c>
      <c r="Q116" t="s">
        <v>258</v>
      </c>
      <c r="S116" t="s">
        <v>214</v>
      </c>
      <c r="U116" t="str">
        <f t="shared" si="3"/>
        <v>Named-region</v>
      </c>
      <c r="V116" t="str">
        <f t="shared" si="4"/>
        <v>mww</v>
      </c>
      <c r="X116">
        <f t="shared" si="5"/>
        <v>2021</v>
      </c>
    </row>
    <row r="117" spans="1:24">
      <c r="A117" t="s">
        <v>259</v>
      </c>
      <c r="B117">
        <v>7</v>
      </c>
      <c r="C117" s="1">
        <v>44217.515972222223</v>
      </c>
      <c r="D117">
        <v>7</v>
      </c>
      <c r="E117">
        <v>5</v>
      </c>
      <c r="F117" t="s">
        <v>15</v>
      </c>
      <c r="G117">
        <v>1</v>
      </c>
      <c r="H117">
        <v>802</v>
      </c>
      <c r="I117" t="s">
        <v>46</v>
      </c>
      <c r="J117">
        <v>0</v>
      </c>
      <c r="K117">
        <v>2.8210000000000002</v>
      </c>
      <c r="L117">
        <v>15</v>
      </c>
      <c r="M117" t="s">
        <v>14</v>
      </c>
      <c r="N117">
        <v>80</v>
      </c>
      <c r="O117">
        <v>5.0073999999999996</v>
      </c>
      <c r="P117">
        <v>127.517</v>
      </c>
      <c r="Q117" t="s">
        <v>227</v>
      </c>
      <c r="U117" t="str">
        <f t="shared" si="3"/>
        <v>N km direction of city</v>
      </c>
      <c r="V117" t="str">
        <f t="shared" si="4"/>
        <v>mww</v>
      </c>
      <c r="X117">
        <f t="shared" si="5"/>
        <v>2021</v>
      </c>
    </row>
    <row r="118" spans="1:24">
      <c r="A118" t="s">
        <v>260</v>
      </c>
      <c r="B118">
        <v>6.7</v>
      </c>
      <c r="C118" s="1">
        <v>44207.897222222222</v>
      </c>
      <c r="D118">
        <v>8</v>
      </c>
      <c r="E118">
        <v>8</v>
      </c>
      <c r="F118" t="s">
        <v>15</v>
      </c>
      <c r="G118">
        <v>0</v>
      </c>
      <c r="H118">
        <v>776</v>
      </c>
      <c r="I118" t="s">
        <v>46</v>
      </c>
      <c r="J118">
        <v>0</v>
      </c>
      <c r="K118">
        <v>2.0430000000000001</v>
      </c>
      <c r="L118">
        <v>22</v>
      </c>
      <c r="M118" t="s">
        <v>14</v>
      </c>
      <c r="N118">
        <v>10</v>
      </c>
      <c r="O118">
        <v>51.240699999999997</v>
      </c>
      <c r="P118">
        <v>100.443</v>
      </c>
      <c r="Q118" t="s">
        <v>261</v>
      </c>
      <c r="R118" t="s">
        <v>85</v>
      </c>
      <c r="S118" t="s">
        <v>262</v>
      </c>
      <c r="U118" t="str">
        <f t="shared" si="3"/>
        <v>N km direction of city</v>
      </c>
      <c r="V118" t="str">
        <f t="shared" si="4"/>
        <v>mww</v>
      </c>
      <c r="X118">
        <f t="shared" si="5"/>
        <v>2021</v>
      </c>
    </row>
    <row r="119" spans="1:24">
      <c r="A119" t="s">
        <v>263</v>
      </c>
      <c r="B119">
        <v>6.7</v>
      </c>
      <c r="C119" s="1">
        <v>44192.902083333327</v>
      </c>
      <c r="D119">
        <v>5</v>
      </c>
      <c r="E119">
        <v>5</v>
      </c>
      <c r="F119" t="s">
        <v>15</v>
      </c>
      <c r="G119">
        <v>1</v>
      </c>
      <c r="H119">
        <v>776</v>
      </c>
      <c r="I119" t="s">
        <v>46</v>
      </c>
      <c r="J119">
        <v>0</v>
      </c>
      <c r="K119">
        <v>1.319</v>
      </c>
      <c r="L119">
        <v>19</v>
      </c>
      <c r="M119" t="s">
        <v>14</v>
      </c>
      <c r="N119">
        <v>10</v>
      </c>
      <c r="O119">
        <v>-39.3264</v>
      </c>
      <c r="P119">
        <v>-74.906700000000001</v>
      </c>
      <c r="Q119" t="s">
        <v>264</v>
      </c>
      <c r="U119" t="str">
        <f t="shared" si="3"/>
        <v>N km direction of city</v>
      </c>
      <c r="V119" t="str">
        <f t="shared" si="4"/>
        <v>mww</v>
      </c>
      <c r="X119">
        <f t="shared" si="5"/>
        <v>2020</v>
      </c>
    </row>
    <row r="120" spans="1:24">
      <c r="A120" t="s">
        <v>265</v>
      </c>
      <c r="B120">
        <v>7</v>
      </c>
      <c r="C120" s="1">
        <v>44134.493750000001</v>
      </c>
      <c r="D120">
        <v>8</v>
      </c>
      <c r="E120">
        <v>7</v>
      </c>
      <c r="F120" t="s">
        <v>16</v>
      </c>
      <c r="G120">
        <v>0</v>
      </c>
      <c r="H120">
        <v>1527</v>
      </c>
      <c r="I120" t="s">
        <v>46</v>
      </c>
      <c r="J120">
        <v>0</v>
      </c>
      <c r="K120">
        <v>1.518</v>
      </c>
      <c r="L120">
        <v>18</v>
      </c>
      <c r="M120" t="s">
        <v>14</v>
      </c>
      <c r="N120">
        <v>21</v>
      </c>
      <c r="O120">
        <v>37.897300000000001</v>
      </c>
      <c r="P120">
        <v>26.795300000000001</v>
      </c>
      <c r="Q120" t="s">
        <v>266</v>
      </c>
      <c r="R120" t="s">
        <v>267</v>
      </c>
      <c r="S120" t="s">
        <v>268</v>
      </c>
      <c r="U120" t="str">
        <f t="shared" si="3"/>
        <v>N km direction of city</v>
      </c>
      <c r="V120" t="str">
        <f t="shared" si="4"/>
        <v>mww</v>
      </c>
      <c r="X120">
        <f t="shared" si="5"/>
        <v>2020</v>
      </c>
    </row>
    <row r="121" spans="1:24">
      <c r="A121" t="s">
        <v>269</v>
      </c>
      <c r="B121">
        <v>7.6</v>
      </c>
      <c r="C121" s="1">
        <v>44123.870833333327</v>
      </c>
      <c r="D121">
        <v>9</v>
      </c>
      <c r="E121">
        <v>7</v>
      </c>
      <c r="F121" t="s">
        <v>18</v>
      </c>
      <c r="G121">
        <v>1</v>
      </c>
      <c r="H121">
        <v>1165</v>
      </c>
      <c r="I121" t="s">
        <v>46</v>
      </c>
      <c r="J121">
        <v>0</v>
      </c>
      <c r="K121">
        <v>0.23</v>
      </c>
      <c r="L121">
        <v>36</v>
      </c>
      <c r="M121" t="s">
        <v>14</v>
      </c>
      <c r="N121">
        <v>28.37</v>
      </c>
      <c r="O121">
        <v>54.661999999999999</v>
      </c>
      <c r="P121">
        <v>-159.67500000000001</v>
      </c>
      <c r="Q121" t="s">
        <v>56</v>
      </c>
      <c r="R121" t="s">
        <v>139</v>
      </c>
      <c r="S121" t="s">
        <v>204</v>
      </c>
      <c r="U121" t="str">
        <f t="shared" si="3"/>
        <v>N km direction of city</v>
      </c>
      <c r="V121" t="str">
        <f t="shared" si="4"/>
        <v>mww</v>
      </c>
      <c r="X121">
        <f t="shared" si="5"/>
        <v>2020</v>
      </c>
    </row>
    <row r="122" spans="1:24">
      <c r="A122" t="s">
        <v>270</v>
      </c>
      <c r="B122">
        <v>6.9</v>
      </c>
      <c r="C122" s="1">
        <v>44092.904861111107</v>
      </c>
      <c r="D122">
        <v>0</v>
      </c>
      <c r="E122">
        <v>3</v>
      </c>
      <c r="F122" t="s">
        <v>15</v>
      </c>
      <c r="G122">
        <v>1</v>
      </c>
      <c r="H122">
        <v>732</v>
      </c>
      <c r="I122" t="s">
        <v>46</v>
      </c>
      <c r="J122">
        <v>0</v>
      </c>
      <c r="K122">
        <v>11.255000000000001</v>
      </c>
      <c r="L122">
        <v>16</v>
      </c>
      <c r="M122" t="s">
        <v>14</v>
      </c>
      <c r="N122">
        <v>10</v>
      </c>
      <c r="O122">
        <v>0.96040000000000003</v>
      </c>
      <c r="P122">
        <v>-26.833200000000001</v>
      </c>
      <c r="Q122" t="s">
        <v>271</v>
      </c>
      <c r="U122" t="str">
        <f t="shared" si="3"/>
        <v>Named-region</v>
      </c>
      <c r="V122" t="str">
        <f t="shared" si="4"/>
        <v>mww</v>
      </c>
      <c r="X122">
        <f t="shared" si="5"/>
        <v>2020</v>
      </c>
    </row>
    <row r="123" spans="1:24">
      <c r="A123" t="s">
        <v>272</v>
      </c>
      <c r="B123">
        <v>6.5</v>
      </c>
      <c r="C123" s="1">
        <v>44075.881249999999</v>
      </c>
      <c r="D123">
        <v>6</v>
      </c>
      <c r="E123">
        <v>6</v>
      </c>
      <c r="F123" t="s">
        <v>15</v>
      </c>
      <c r="G123">
        <v>0</v>
      </c>
      <c r="H123">
        <v>674</v>
      </c>
      <c r="I123" t="s">
        <v>46</v>
      </c>
      <c r="J123">
        <v>0</v>
      </c>
      <c r="K123">
        <v>0.38800000000000001</v>
      </c>
      <c r="L123">
        <v>49</v>
      </c>
      <c r="M123" t="s">
        <v>14</v>
      </c>
      <c r="N123">
        <v>16</v>
      </c>
      <c r="O123">
        <v>-27.9285</v>
      </c>
      <c r="P123">
        <v>-71.393699999999995</v>
      </c>
      <c r="Q123" t="s">
        <v>273</v>
      </c>
      <c r="U123" t="str">
        <f t="shared" si="3"/>
        <v>N km direction of city</v>
      </c>
      <c r="V123" t="str">
        <f t="shared" si="4"/>
        <v>mww</v>
      </c>
      <c r="X123">
        <f t="shared" si="5"/>
        <v>2020</v>
      </c>
    </row>
    <row r="124" spans="1:24">
      <c r="A124" t="s">
        <v>274</v>
      </c>
      <c r="B124">
        <v>6.8</v>
      </c>
      <c r="C124" s="1">
        <v>44075.17291666667</v>
      </c>
      <c r="D124">
        <v>6</v>
      </c>
      <c r="E124">
        <v>7</v>
      </c>
      <c r="F124" t="s">
        <v>15</v>
      </c>
      <c r="G124">
        <v>1</v>
      </c>
      <c r="H124">
        <v>824</v>
      </c>
      <c r="I124" t="s">
        <v>46</v>
      </c>
      <c r="J124">
        <v>0</v>
      </c>
      <c r="K124">
        <v>0.312</v>
      </c>
      <c r="L124">
        <v>69</v>
      </c>
      <c r="M124" t="s">
        <v>14</v>
      </c>
      <c r="N124">
        <v>21</v>
      </c>
      <c r="O124">
        <v>-28.013000000000002</v>
      </c>
      <c r="P124">
        <v>-71.195800000000006</v>
      </c>
      <c r="Q124" t="s">
        <v>273</v>
      </c>
      <c r="S124" t="s">
        <v>275</v>
      </c>
      <c r="U124" t="str">
        <f t="shared" si="3"/>
        <v>N km direction of city</v>
      </c>
      <c r="V124" t="str">
        <f t="shared" si="4"/>
        <v>mww</v>
      </c>
      <c r="X124">
        <f t="shared" si="5"/>
        <v>2020</v>
      </c>
    </row>
    <row r="125" spans="1:24">
      <c r="A125" t="s">
        <v>276</v>
      </c>
      <c r="B125">
        <v>6.5</v>
      </c>
      <c r="C125" s="1">
        <v>44073.888888888891</v>
      </c>
      <c r="D125">
        <v>4</v>
      </c>
      <c r="E125">
        <v>5</v>
      </c>
      <c r="F125" t="s">
        <v>15</v>
      </c>
      <c r="G125">
        <v>0</v>
      </c>
      <c r="H125">
        <v>651</v>
      </c>
      <c r="I125" t="s">
        <v>46</v>
      </c>
      <c r="J125">
        <v>0</v>
      </c>
      <c r="K125">
        <v>15.394</v>
      </c>
      <c r="L125">
        <v>31</v>
      </c>
      <c r="M125" t="s">
        <v>14</v>
      </c>
      <c r="N125">
        <v>10</v>
      </c>
      <c r="O125">
        <v>0.86960000000000004</v>
      </c>
      <c r="P125">
        <v>-29.704599999999999</v>
      </c>
      <c r="Q125" t="s">
        <v>271</v>
      </c>
      <c r="U125" t="str">
        <f t="shared" si="3"/>
        <v>Named-region</v>
      </c>
      <c r="V125" t="str">
        <f t="shared" si="4"/>
        <v>mww</v>
      </c>
      <c r="X125">
        <f t="shared" si="5"/>
        <v>2020</v>
      </c>
    </row>
    <row r="126" spans="1:24">
      <c r="A126" t="s">
        <v>277</v>
      </c>
      <c r="B126">
        <v>6.9</v>
      </c>
      <c r="C126" s="1">
        <v>44064.17291666667</v>
      </c>
      <c r="D126">
        <v>4</v>
      </c>
      <c r="E126">
        <v>3</v>
      </c>
      <c r="F126" t="s">
        <v>15</v>
      </c>
      <c r="G126">
        <v>0</v>
      </c>
      <c r="H126">
        <v>749</v>
      </c>
      <c r="I126" t="s">
        <v>46</v>
      </c>
      <c r="J126">
        <v>0</v>
      </c>
      <c r="K126">
        <v>2.2669999999999999</v>
      </c>
      <c r="L126">
        <v>20</v>
      </c>
      <c r="M126" t="s">
        <v>14</v>
      </c>
      <c r="N126">
        <v>624</v>
      </c>
      <c r="O126">
        <v>-6.6703999999999999</v>
      </c>
      <c r="P126">
        <v>123.49299999999999</v>
      </c>
      <c r="Q126" t="s">
        <v>278</v>
      </c>
      <c r="S126" t="s">
        <v>77</v>
      </c>
      <c r="U126" t="str">
        <f t="shared" si="3"/>
        <v>N km direction of city</v>
      </c>
      <c r="V126" t="str">
        <f t="shared" si="4"/>
        <v>mww</v>
      </c>
      <c r="X126">
        <f t="shared" si="5"/>
        <v>2020</v>
      </c>
    </row>
    <row r="127" spans="1:24">
      <c r="A127" t="s">
        <v>279</v>
      </c>
      <c r="B127">
        <v>6.9</v>
      </c>
      <c r="C127" s="1">
        <v>44061.936805555553</v>
      </c>
      <c r="D127">
        <v>4</v>
      </c>
      <c r="E127">
        <v>4</v>
      </c>
      <c r="F127" t="s">
        <v>15</v>
      </c>
      <c r="G127">
        <v>0</v>
      </c>
      <c r="H127">
        <v>735</v>
      </c>
      <c r="I127" t="s">
        <v>46</v>
      </c>
      <c r="J127">
        <v>0</v>
      </c>
      <c r="K127">
        <v>1.716</v>
      </c>
      <c r="L127">
        <v>25</v>
      </c>
      <c r="M127" t="s">
        <v>14</v>
      </c>
      <c r="N127">
        <v>26</v>
      </c>
      <c r="O127">
        <v>-4.2790999999999997</v>
      </c>
      <c r="P127">
        <v>101.215</v>
      </c>
      <c r="Q127" t="s">
        <v>126</v>
      </c>
      <c r="S127" t="s">
        <v>77</v>
      </c>
      <c r="U127" t="str">
        <f t="shared" si="3"/>
        <v>N km direction of city</v>
      </c>
      <c r="V127" t="str">
        <f t="shared" si="4"/>
        <v>mww</v>
      </c>
      <c r="X127">
        <f t="shared" si="5"/>
        <v>2020</v>
      </c>
    </row>
    <row r="128" spans="1:24">
      <c r="A128" t="s">
        <v>280</v>
      </c>
      <c r="B128">
        <v>6.8</v>
      </c>
      <c r="C128" s="1">
        <v>44061.932638888888</v>
      </c>
      <c r="D128">
        <v>5</v>
      </c>
      <c r="E128">
        <v>4</v>
      </c>
      <c r="F128" t="s">
        <v>15</v>
      </c>
      <c r="G128">
        <v>0</v>
      </c>
      <c r="H128">
        <v>716</v>
      </c>
      <c r="I128" t="s">
        <v>46</v>
      </c>
      <c r="J128">
        <v>0</v>
      </c>
      <c r="K128">
        <v>1.8160000000000001</v>
      </c>
      <c r="L128">
        <v>34</v>
      </c>
      <c r="M128" t="s">
        <v>14</v>
      </c>
      <c r="N128">
        <v>22</v>
      </c>
      <c r="O128">
        <v>-4.3723999999999998</v>
      </c>
      <c r="P128">
        <v>101.095</v>
      </c>
      <c r="Q128" t="s">
        <v>126</v>
      </c>
      <c r="S128" t="s">
        <v>77</v>
      </c>
      <c r="U128" t="str">
        <f t="shared" si="3"/>
        <v>N km direction of city</v>
      </c>
      <c r="V128" t="str">
        <f t="shared" si="4"/>
        <v>mww</v>
      </c>
      <c r="X128">
        <f t="shared" si="5"/>
        <v>2020</v>
      </c>
    </row>
    <row r="129" spans="1:24">
      <c r="A129" t="s">
        <v>281</v>
      </c>
      <c r="B129">
        <v>6.6</v>
      </c>
      <c r="C129" s="1">
        <v>44061.002083333333</v>
      </c>
      <c r="D129">
        <v>9</v>
      </c>
      <c r="E129">
        <v>8</v>
      </c>
      <c r="F129" t="s">
        <v>18</v>
      </c>
      <c r="G129">
        <v>1</v>
      </c>
      <c r="H129">
        <v>784</v>
      </c>
      <c r="I129" t="s">
        <v>46</v>
      </c>
      <c r="J129">
        <v>0</v>
      </c>
      <c r="K129">
        <v>5.1280000000000001</v>
      </c>
      <c r="L129">
        <v>14</v>
      </c>
      <c r="M129" t="s">
        <v>14</v>
      </c>
      <c r="N129">
        <v>10</v>
      </c>
      <c r="O129">
        <v>12.006500000000001</v>
      </c>
      <c r="P129">
        <v>124.13</v>
      </c>
      <c r="Q129" t="s">
        <v>282</v>
      </c>
      <c r="S129" t="s">
        <v>158</v>
      </c>
      <c r="U129" t="str">
        <f t="shared" si="3"/>
        <v>N km direction of city</v>
      </c>
      <c r="V129" t="str">
        <f t="shared" si="4"/>
        <v>mww</v>
      </c>
      <c r="X129">
        <f t="shared" si="5"/>
        <v>2020</v>
      </c>
    </row>
    <row r="130" spans="1:24">
      <c r="A130" t="s">
        <v>283</v>
      </c>
      <c r="B130">
        <v>7.8</v>
      </c>
      <c r="C130" s="1">
        <v>44034.258333333331</v>
      </c>
      <c r="D130">
        <v>9</v>
      </c>
      <c r="E130">
        <v>7</v>
      </c>
      <c r="F130" t="s">
        <v>15</v>
      </c>
      <c r="G130">
        <v>1</v>
      </c>
      <c r="H130">
        <v>1111</v>
      </c>
      <c r="I130" t="s">
        <v>46</v>
      </c>
      <c r="J130">
        <v>0</v>
      </c>
      <c r="K130">
        <v>0.621</v>
      </c>
      <c r="L130">
        <v>60</v>
      </c>
      <c r="M130" t="s">
        <v>14</v>
      </c>
      <c r="N130">
        <v>28</v>
      </c>
      <c r="O130">
        <v>55.107900000000001</v>
      </c>
      <c r="P130">
        <v>-158.477</v>
      </c>
      <c r="Q130" t="s">
        <v>222</v>
      </c>
      <c r="U130" t="str">
        <f t="shared" ref="U130:U193" si="6">IF(ISNUMBER(SEARCH("km",A130)),"N km direction of city","Named-region")</f>
        <v>N km direction of city</v>
      </c>
      <c r="V130" t="str">
        <f t="shared" ref="V130:V193" si="7">LOWER(M130)</f>
        <v>mww</v>
      </c>
      <c r="X130">
        <f t="shared" ref="X130:X193" si="8">YEAR(C130)</f>
        <v>2020</v>
      </c>
    </row>
    <row r="131" spans="1:24">
      <c r="A131" t="s">
        <v>284</v>
      </c>
      <c r="B131">
        <v>7</v>
      </c>
      <c r="C131" s="1">
        <v>44029.118055555547</v>
      </c>
      <c r="D131">
        <v>6</v>
      </c>
      <c r="E131">
        <v>7</v>
      </c>
      <c r="F131" t="s">
        <v>15</v>
      </c>
      <c r="G131">
        <v>1</v>
      </c>
      <c r="H131">
        <v>820</v>
      </c>
      <c r="I131" t="s">
        <v>46</v>
      </c>
      <c r="J131">
        <v>0</v>
      </c>
      <c r="K131">
        <v>1.671</v>
      </c>
      <c r="L131">
        <v>18</v>
      </c>
      <c r="M131" t="s">
        <v>14</v>
      </c>
      <c r="N131">
        <v>73</v>
      </c>
      <c r="O131">
        <v>-7.8470000000000004</v>
      </c>
      <c r="P131">
        <v>147.755</v>
      </c>
      <c r="Q131" t="s">
        <v>285</v>
      </c>
      <c r="S131" t="s">
        <v>89</v>
      </c>
      <c r="U131" t="str">
        <f t="shared" si="6"/>
        <v>N km direction of city</v>
      </c>
      <c r="V131" t="str">
        <f t="shared" si="7"/>
        <v>mww</v>
      </c>
      <c r="X131">
        <f t="shared" si="8"/>
        <v>2020</v>
      </c>
    </row>
    <row r="132" spans="1:24">
      <c r="A132" t="s">
        <v>286</v>
      </c>
      <c r="B132">
        <v>6.6</v>
      </c>
      <c r="C132" s="1">
        <v>44018.95416666667</v>
      </c>
      <c r="D132">
        <v>4</v>
      </c>
      <c r="E132">
        <v>2</v>
      </c>
      <c r="F132" t="s">
        <v>15</v>
      </c>
      <c r="G132">
        <v>0</v>
      </c>
      <c r="H132">
        <v>684</v>
      </c>
      <c r="I132" t="s">
        <v>46</v>
      </c>
      <c r="J132">
        <v>0</v>
      </c>
      <c r="K132">
        <v>1.458</v>
      </c>
      <c r="L132">
        <v>14</v>
      </c>
      <c r="M132" t="s">
        <v>14</v>
      </c>
      <c r="N132">
        <v>533.76</v>
      </c>
      <c r="O132">
        <v>-5.6368</v>
      </c>
      <c r="P132">
        <v>110.678</v>
      </c>
      <c r="Q132" t="s">
        <v>287</v>
      </c>
      <c r="S132" t="s">
        <v>77</v>
      </c>
      <c r="U132" t="str">
        <f t="shared" si="6"/>
        <v>N km direction of city</v>
      </c>
      <c r="V132" t="str">
        <f t="shared" si="7"/>
        <v>mww</v>
      </c>
      <c r="X132">
        <f t="shared" si="8"/>
        <v>2020</v>
      </c>
    </row>
    <row r="133" spans="1:24">
      <c r="A133" t="s">
        <v>288</v>
      </c>
      <c r="B133">
        <v>7.4</v>
      </c>
      <c r="C133" s="1">
        <v>44005.645138888889</v>
      </c>
      <c r="D133">
        <v>8</v>
      </c>
      <c r="E133">
        <v>8</v>
      </c>
      <c r="F133" t="s">
        <v>16</v>
      </c>
      <c r="G133">
        <v>1</v>
      </c>
      <c r="H133">
        <v>1494</v>
      </c>
      <c r="I133" t="s">
        <v>46</v>
      </c>
      <c r="J133">
        <v>0</v>
      </c>
      <c r="K133">
        <v>0.151</v>
      </c>
      <c r="L133">
        <v>30</v>
      </c>
      <c r="M133" t="s">
        <v>14</v>
      </c>
      <c r="N133">
        <v>20</v>
      </c>
      <c r="O133">
        <v>15.9163</v>
      </c>
      <c r="P133">
        <v>-95.953299999999999</v>
      </c>
      <c r="Q133" t="s">
        <v>289</v>
      </c>
      <c r="R133" t="s">
        <v>139</v>
      </c>
      <c r="S133" t="s">
        <v>140</v>
      </c>
      <c r="U133" t="str">
        <f t="shared" si="6"/>
        <v>N km direction of city</v>
      </c>
      <c r="V133" t="str">
        <f t="shared" si="7"/>
        <v>mww</v>
      </c>
      <c r="X133">
        <f t="shared" si="8"/>
        <v>2020</v>
      </c>
    </row>
    <row r="134" spans="1:24">
      <c r="A134" t="s">
        <v>290</v>
      </c>
      <c r="B134">
        <v>7.4</v>
      </c>
      <c r="C134" s="1">
        <v>44000.53402777778</v>
      </c>
      <c r="D134">
        <v>7</v>
      </c>
      <c r="E134">
        <v>7</v>
      </c>
      <c r="F134" t="s">
        <v>15</v>
      </c>
      <c r="G134">
        <v>1</v>
      </c>
      <c r="H134">
        <v>873</v>
      </c>
      <c r="I134" t="s">
        <v>46</v>
      </c>
      <c r="J134">
        <v>0</v>
      </c>
      <c r="K134">
        <v>4.0350000000000001</v>
      </c>
      <c r="L134">
        <v>23</v>
      </c>
      <c r="M134" t="s">
        <v>14</v>
      </c>
      <c r="N134">
        <v>10</v>
      </c>
      <c r="O134">
        <v>-33.293799999999997</v>
      </c>
      <c r="P134">
        <v>-177.83799999999999</v>
      </c>
      <c r="Q134" t="s">
        <v>155</v>
      </c>
      <c r="U134" t="str">
        <f t="shared" si="6"/>
        <v>Named-region</v>
      </c>
      <c r="V134" t="str">
        <f t="shared" si="7"/>
        <v>mww</v>
      </c>
      <c r="X134">
        <f t="shared" si="8"/>
        <v>2020</v>
      </c>
    </row>
    <row r="135" spans="1:24">
      <c r="A135" t="s">
        <v>291</v>
      </c>
      <c r="B135">
        <v>6.6</v>
      </c>
      <c r="C135" s="1">
        <v>43995.660416666673</v>
      </c>
      <c r="D135">
        <v>5</v>
      </c>
      <c r="E135">
        <v>4</v>
      </c>
      <c r="F135" t="s">
        <v>15</v>
      </c>
      <c r="G135">
        <v>1</v>
      </c>
      <c r="H135">
        <v>734</v>
      </c>
      <c r="I135" t="s">
        <v>46</v>
      </c>
      <c r="J135">
        <v>0</v>
      </c>
      <c r="K135">
        <v>2.0150000000000001</v>
      </c>
      <c r="L135">
        <v>18</v>
      </c>
      <c r="M135" t="s">
        <v>14</v>
      </c>
      <c r="N135">
        <v>165</v>
      </c>
      <c r="O135">
        <v>28.938600000000001</v>
      </c>
      <c r="P135">
        <v>128.262</v>
      </c>
      <c r="Q135" t="s">
        <v>292</v>
      </c>
      <c r="U135" t="str">
        <f t="shared" si="6"/>
        <v>N km direction of city</v>
      </c>
      <c r="V135" t="str">
        <f t="shared" si="7"/>
        <v>mww</v>
      </c>
      <c r="X135">
        <f t="shared" si="8"/>
        <v>2020</v>
      </c>
    </row>
    <row r="136" spans="1:24">
      <c r="A136" t="s">
        <v>293</v>
      </c>
      <c r="B136">
        <v>6.8</v>
      </c>
      <c r="C136" s="1">
        <v>43985.315972222219</v>
      </c>
      <c r="D136">
        <v>6</v>
      </c>
      <c r="E136">
        <v>6</v>
      </c>
      <c r="F136" t="s">
        <v>15</v>
      </c>
      <c r="G136">
        <v>1</v>
      </c>
      <c r="H136">
        <v>835</v>
      </c>
      <c r="I136" t="s">
        <v>46</v>
      </c>
      <c r="J136">
        <v>0</v>
      </c>
      <c r="K136">
        <v>1.1639999999999999</v>
      </c>
      <c r="L136">
        <v>21</v>
      </c>
      <c r="M136" t="s">
        <v>14</v>
      </c>
      <c r="N136">
        <v>112</v>
      </c>
      <c r="O136">
        <v>-23.296600000000002</v>
      </c>
      <c r="P136">
        <v>-68.420400000000001</v>
      </c>
      <c r="Q136" t="s">
        <v>294</v>
      </c>
      <c r="R136" t="s">
        <v>53</v>
      </c>
      <c r="S136" t="s">
        <v>275</v>
      </c>
      <c r="U136" t="str">
        <f t="shared" si="6"/>
        <v>N km direction of city</v>
      </c>
      <c r="V136" t="str">
        <f t="shared" si="7"/>
        <v>mww</v>
      </c>
      <c r="X136">
        <f t="shared" si="8"/>
        <v>2020</v>
      </c>
    </row>
    <row r="137" spans="1:24">
      <c r="A137" t="s">
        <v>295</v>
      </c>
      <c r="B137">
        <v>6.5</v>
      </c>
      <c r="C137" s="1">
        <v>43966.460416666669</v>
      </c>
      <c r="D137">
        <v>7</v>
      </c>
      <c r="E137">
        <v>8</v>
      </c>
      <c r="F137" t="s">
        <v>15</v>
      </c>
      <c r="G137">
        <v>0</v>
      </c>
      <c r="H137">
        <v>1320</v>
      </c>
      <c r="I137" t="s">
        <v>296</v>
      </c>
      <c r="J137">
        <v>27</v>
      </c>
      <c r="K137">
        <v>0.35699999999999998</v>
      </c>
      <c r="L137">
        <v>55.79</v>
      </c>
      <c r="M137" t="s">
        <v>9</v>
      </c>
      <c r="N137">
        <v>2.7</v>
      </c>
      <c r="O137">
        <v>38.168900000000001</v>
      </c>
      <c r="P137">
        <v>-117.85</v>
      </c>
      <c r="Q137" t="s">
        <v>297</v>
      </c>
      <c r="R137" t="s">
        <v>139</v>
      </c>
      <c r="S137" t="s">
        <v>204</v>
      </c>
      <c r="U137" t="str">
        <f t="shared" si="6"/>
        <v>Named-region</v>
      </c>
      <c r="V137" t="str">
        <f t="shared" si="7"/>
        <v>ml</v>
      </c>
      <c r="X137">
        <f t="shared" si="8"/>
        <v>2020</v>
      </c>
    </row>
    <row r="138" spans="1:24">
      <c r="A138" t="s">
        <v>298</v>
      </c>
      <c r="B138">
        <v>6.6</v>
      </c>
      <c r="C138" s="1">
        <v>43963.945138888892</v>
      </c>
      <c r="D138">
        <v>4</v>
      </c>
      <c r="E138">
        <v>6</v>
      </c>
      <c r="F138" t="s">
        <v>15</v>
      </c>
      <c r="G138">
        <v>1</v>
      </c>
      <c r="H138">
        <v>671</v>
      </c>
      <c r="I138" t="s">
        <v>46</v>
      </c>
      <c r="J138">
        <v>0</v>
      </c>
      <c r="K138">
        <v>3.403</v>
      </c>
      <c r="L138">
        <v>12</v>
      </c>
      <c r="M138" t="s">
        <v>14</v>
      </c>
      <c r="N138">
        <v>107</v>
      </c>
      <c r="O138">
        <v>-12.0662</v>
      </c>
      <c r="P138">
        <v>166.648</v>
      </c>
      <c r="Q138" t="s">
        <v>299</v>
      </c>
      <c r="U138" t="str">
        <f t="shared" si="6"/>
        <v>N km direction of city</v>
      </c>
      <c r="V138" t="str">
        <f t="shared" si="7"/>
        <v>mww</v>
      </c>
      <c r="X138">
        <f t="shared" si="8"/>
        <v>2020</v>
      </c>
    </row>
    <row r="139" spans="1:24">
      <c r="A139" t="s">
        <v>300</v>
      </c>
      <c r="B139">
        <v>6.8</v>
      </c>
      <c r="C139" s="1">
        <v>43957.578472222223</v>
      </c>
      <c r="D139">
        <v>4</v>
      </c>
      <c r="E139">
        <v>6</v>
      </c>
      <c r="F139" t="s">
        <v>15</v>
      </c>
      <c r="G139">
        <v>0</v>
      </c>
      <c r="H139">
        <v>738</v>
      </c>
      <c r="I139" t="s">
        <v>46</v>
      </c>
      <c r="J139">
        <v>0</v>
      </c>
      <c r="K139">
        <v>1.921</v>
      </c>
      <c r="L139">
        <v>16</v>
      </c>
      <c r="M139" t="s">
        <v>14</v>
      </c>
      <c r="N139">
        <v>96</v>
      </c>
      <c r="O139">
        <v>-6.7762000000000002</v>
      </c>
      <c r="P139">
        <v>129.785</v>
      </c>
      <c r="Q139" t="s">
        <v>301</v>
      </c>
      <c r="S139" t="s">
        <v>77</v>
      </c>
      <c r="U139" t="str">
        <f t="shared" si="6"/>
        <v>Named-region</v>
      </c>
      <c r="V139" t="str">
        <f t="shared" si="7"/>
        <v>mww</v>
      </c>
      <c r="X139">
        <f t="shared" si="8"/>
        <v>2020</v>
      </c>
    </row>
    <row r="140" spans="1:24">
      <c r="A140" t="s">
        <v>302</v>
      </c>
      <c r="B140">
        <v>6.5</v>
      </c>
      <c r="C140" s="1">
        <v>43953.535416666673</v>
      </c>
      <c r="D140">
        <v>7</v>
      </c>
      <c r="E140">
        <v>6</v>
      </c>
      <c r="F140" t="s">
        <v>15</v>
      </c>
      <c r="G140">
        <v>0</v>
      </c>
      <c r="H140">
        <v>678</v>
      </c>
      <c r="I140" t="s">
        <v>46</v>
      </c>
      <c r="J140">
        <v>0</v>
      </c>
      <c r="K140">
        <v>1.2929999999999999</v>
      </c>
      <c r="L140">
        <v>19</v>
      </c>
      <c r="M140" t="s">
        <v>14</v>
      </c>
      <c r="N140">
        <v>10</v>
      </c>
      <c r="O140">
        <v>34.181800000000003</v>
      </c>
      <c r="P140">
        <v>25.710100000000001</v>
      </c>
      <c r="Q140" t="s">
        <v>303</v>
      </c>
      <c r="U140" t="str">
        <f t="shared" si="6"/>
        <v>N km direction of city</v>
      </c>
      <c r="V140" t="str">
        <f t="shared" si="7"/>
        <v>mww</v>
      </c>
      <c r="X140">
        <f t="shared" si="8"/>
        <v>2020</v>
      </c>
    </row>
    <row r="141" spans="1:24">
      <c r="A141" t="s">
        <v>304</v>
      </c>
      <c r="B141">
        <v>6.5</v>
      </c>
      <c r="C141" s="1">
        <v>43921.994444444441</v>
      </c>
      <c r="D141">
        <v>8</v>
      </c>
      <c r="E141">
        <v>8</v>
      </c>
      <c r="F141" t="s">
        <v>15</v>
      </c>
      <c r="G141">
        <v>0</v>
      </c>
      <c r="H141">
        <v>1410</v>
      </c>
      <c r="I141" t="s">
        <v>46</v>
      </c>
      <c r="J141">
        <v>0</v>
      </c>
      <c r="K141">
        <v>0.88500000000000001</v>
      </c>
      <c r="L141">
        <v>31</v>
      </c>
      <c r="M141" t="s">
        <v>14</v>
      </c>
      <c r="N141">
        <v>12.06</v>
      </c>
      <c r="O141">
        <v>44.464599999999997</v>
      </c>
      <c r="P141">
        <v>-115.11799999999999</v>
      </c>
      <c r="Q141" t="s">
        <v>305</v>
      </c>
      <c r="R141" t="s">
        <v>139</v>
      </c>
      <c r="S141" t="s">
        <v>204</v>
      </c>
      <c r="U141" t="str">
        <f t="shared" si="6"/>
        <v>Named-region</v>
      </c>
      <c r="V141" t="str">
        <f t="shared" si="7"/>
        <v>mww</v>
      </c>
      <c r="X141">
        <f t="shared" si="8"/>
        <v>2020</v>
      </c>
    </row>
    <row r="142" spans="1:24">
      <c r="A142" t="s">
        <v>306</v>
      </c>
      <c r="B142">
        <v>7.5</v>
      </c>
      <c r="C142" s="1">
        <v>43915.117361111108</v>
      </c>
      <c r="D142">
        <v>6</v>
      </c>
      <c r="E142">
        <v>5</v>
      </c>
      <c r="F142" t="s">
        <v>15</v>
      </c>
      <c r="G142">
        <v>1</v>
      </c>
      <c r="H142">
        <v>879</v>
      </c>
      <c r="I142" t="s">
        <v>46</v>
      </c>
      <c r="J142">
        <v>0</v>
      </c>
      <c r="K142">
        <v>4.109</v>
      </c>
      <c r="L142">
        <v>12</v>
      </c>
      <c r="M142" t="s">
        <v>14</v>
      </c>
      <c r="N142">
        <v>57.8</v>
      </c>
      <c r="O142">
        <v>48.963799999999999</v>
      </c>
      <c r="P142">
        <v>157.69499999999999</v>
      </c>
      <c r="Q142" t="s">
        <v>307</v>
      </c>
      <c r="U142" t="str">
        <f t="shared" si="6"/>
        <v>N km direction of city</v>
      </c>
      <c r="V142" t="str">
        <f t="shared" si="7"/>
        <v>mww</v>
      </c>
      <c r="X142">
        <f t="shared" si="8"/>
        <v>2020</v>
      </c>
    </row>
    <row r="143" spans="1:24">
      <c r="A143" t="s">
        <v>308</v>
      </c>
      <c r="B143">
        <v>7</v>
      </c>
      <c r="C143" s="1">
        <v>43874.439583333333</v>
      </c>
      <c r="D143">
        <v>5</v>
      </c>
      <c r="E143">
        <v>6</v>
      </c>
      <c r="F143" t="s">
        <v>18</v>
      </c>
      <c r="G143">
        <v>1</v>
      </c>
      <c r="H143">
        <v>770</v>
      </c>
      <c r="I143" t="s">
        <v>46</v>
      </c>
      <c r="J143">
        <v>0</v>
      </c>
      <c r="K143">
        <v>4.5010000000000003</v>
      </c>
      <c r="L143">
        <v>25</v>
      </c>
      <c r="M143" t="s">
        <v>14</v>
      </c>
      <c r="N143">
        <v>143</v>
      </c>
      <c r="O143">
        <v>45.616100000000003</v>
      </c>
      <c r="P143">
        <v>148.959</v>
      </c>
      <c r="Q143" t="s">
        <v>309</v>
      </c>
      <c r="R143" t="s">
        <v>85</v>
      </c>
      <c r="S143" t="s">
        <v>310</v>
      </c>
      <c r="U143" t="str">
        <f t="shared" si="6"/>
        <v>N km direction of city</v>
      </c>
      <c r="V143" t="str">
        <f t="shared" si="7"/>
        <v>mww</v>
      </c>
      <c r="X143">
        <f t="shared" si="8"/>
        <v>2020</v>
      </c>
    </row>
    <row r="144" spans="1:24">
      <c r="A144" t="s">
        <v>311</v>
      </c>
      <c r="B144">
        <v>7.7</v>
      </c>
      <c r="C144" s="1">
        <v>43858.798611111109</v>
      </c>
      <c r="D144">
        <v>9</v>
      </c>
      <c r="E144">
        <v>6</v>
      </c>
      <c r="F144" t="s">
        <v>18</v>
      </c>
      <c r="G144">
        <v>1</v>
      </c>
      <c r="H144">
        <v>1812</v>
      </c>
      <c r="I144" t="s">
        <v>46</v>
      </c>
      <c r="J144">
        <v>0</v>
      </c>
      <c r="K144">
        <v>1.657</v>
      </c>
      <c r="L144">
        <v>26</v>
      </c>
      <c r="M144" t="s">
        <v>14</v>
      </c>
      <c r="N144">
        <v>14.86</v>
      </c>
      <c r="O144">
        <v>19.4193</v>
      </c>
      <c r="P144">
        <v>-78.756</v>
      </c>
      <c r="Q144" t="s">
        <v>312</v>
      </c>
      <c r="U144" t="str">
        <f t="shared" si="6"/>
        <v>N km direction of city</v>
      </c>
      <c r="V144" t="str">
        <f t="shared" si="7"/>
        <v>mww</v>
      </c>
      <c r="X144">
        <f t="shared" si="8"/>
        <v>2020</v>
      </c>
    </row>
    <row r="145" spans="1:24">
      <c r="A145" t="s">
        <v>313</v>
      </c>
      <c r="B145">
        <v>6.7</v>
      </c>
      <c r="C145" s="1">
        <v>43854.746527777781</v>
      </c>
      <c r="D145">
        <v>8</v>
      </c>
      <c r="E145">
        <v>9</v>
      </c>
      <c r="F145" t="s">
        <v>16</v>
      </c>
      <c r="G145">
        <v>0</v>
      </c>
      <c r="H145">
        <v>1247</v>
      </c>
      <c r="I145" t="s">
        <v>46</v>
      </c>
      <c r="J145">
        <v>0</v>
      </c>
      <c r="K145">
        <v>0.87</v>
      </c>
      <c r="L145">
        <v>49</v>
      </c>
      <c r="M145" t="s">
        <v>14</v>
      </c>
      <c r="N145">
        <v>10</v>
      </c>
      <c r="O145">
        <v>38.431199999999997</v>
      </c>
      <c r="P145">
        <v>39.060899999999997</v>
      </c>
      <c r="Q145" t="s">
        <v>314</v>
      </c>
      <c r="R145" t="s">
        <v>85</v>
      </c>
      <c r="S145" t="s">
        <v>315</v>
      </c>
      <c r="U145" t="str">
        <f t="shared" si="6"/>
        <v>N km direction of city</v>
      </c>
      <c r="V145" t="str">
        <f t="shared" si="7"/>
        <v>mww</v>
      </c>
      <c r="X145">
        <f t="shared" si="8"/>
        <v>2020</v>
      </c>
    </row>
    <row r="146" spans="1:24">
      <c r="A146" t="s">
        <v>316</v>
      </c>
      <c r="B146">
        <v>6.8</v>
      </c>
      <c r="C146" s="1">
        <v>43814.257638888892</v>
      </c>
      <c r="D146">
        <v>9</v>
      </c>
      <c r="E146">
        <v>7</v>
      </c>
      <c r="F146" t="s">
        <v>18</v>
      </c>
      <c r="G146">
        <v>1</v>
      </c>
      <c r="H146">
        <v>825</v>
      </c>
      <c r="I146" t="s">
        <v>46</v>
      </c>
      <c r="J146">
        <v>0</v>
      </c>
      <c r="K146">
        <v>0.54600000000000004</v>
      </c>
      <c r="L146">
        <v>39</v>
      </c>
      <c r="M146" t="s">
        <v>14</v>
      </c>
      <c r="N146">
        <v>18</v>
      </c>
      <c r="O146">
        <v>6.6969000000000003</v>
      </c>
      <c r="P146">
        <v>125.17400000000001</v>
      </c>
      <c r="Q146" t="s">
        <v>317</v>
      </c>
      <c r="S146" t="s">
        <v>158</v>
      </c>
      <c r="U146" t="str">
        <f t="shared" si="6"/>
        <v>N km direction of city</v>
      </c>
      <c r="V146" t="str">
        <f t="shared" si="7"/>
        <v>mww</v>
      </c>
      <c r="X146">
        <f t="shared" si="8"/>
        <v>2019</v>
      </c>
    </row>
    <row r="147" spans="1:24">
      <c r="A147" t="s">
        <v>318</v>
      </c>
      <c r="B147">
        <v>7.1</v>
      </c>
      <c r="C147" s="1">
        <v>43783.678472222222</v>
      </c>
      <c r="D147">
        <v>6</v>
      </c>
      <c r="E147">
        <v>6</v>
      </c>
      <c r="F147" t="s">
        <v>15</v>
      </c>
      <c r="G147">
        <v>1</v>
      </c>
      <c r="H147">
        <v>799</v>
      </c>
      <c r="I147" t="s">
        <v>46</v>
      </c>
      <c r="J147">
        <v>0</v>
      </c>
      <c r="K147">
        <v>1.2709999999999999</v>
      </c>
      <c r="L147">
        <v>11</v>
      </c>
      <c r="M147" t="s">
        <v>14</v>
      </c>
      <c r="N147">
        <v>33</v>
      </c>
      <c r="O147">
        <v>1.6213</v>
      </c>
      <c r="P147">
        <v>126.416</v>
      </c>
      <c r="Q147" t="s">
        <v>319</v>
      </c>
      <c r="S147" t="s">
        <v>77</v>
      </c>
      <c r="U147" t="str">
        <f t="shared" si="6"/>
        <v>N km direction of city</v>
      </c>
      <c r="V147" t="str">
        <f t="shared" si="7"/>
        <v>mww</v>
      </c>
      <c r="X147">
        <f t="shared" si="8"/>
        <v>2019</v>
      </c>
    </row>
    <row r="148" spans="1:24">
      <c r="A148" t="s">
        <v>320</v>
      </c>
      <c r="B148">
        <v>6.5</v>
      </c>
      <c r="C148" s="1">
        <v>43777.447222222218</v>
      </c>
      <c r="D148">
        <v>0</v>
      </c>
      <c r="E148">
        <v>2</v>
      </c>
      <c r="F148" t="s">
        <v>15</v>
      </c>
      <c r="G148">
        <v>0</v>
      </c>
      <c r="H148">
        <v>650</v>
      </c>
      <c r="I148" t="s">
        <v>46</v>
      </c>
      <c r="J148">
        <v>0</v>
      </c>
      <c r="K148">
        <v>4.7649999999999997</v>
      </c>
      <c r="L148">
        <v>25</v>
      </c>
      <c r="M148" t="s">
        <v>14</v>
      </c>
      <c r="N148">
        <v>577</v>
      </c>
      <c r="O148">
        <v>-21.944900000000001</v>
      </c>
      <c r="P148">
        <v>-179.511</v>
      </c>
      <c r="Q148" t="s">
        <v>321</v>
      </c>
      <c r="U148" t="str">
        <f t="shared" si="6"/>
        <v>N km direction of city</v>
      </c>
      <c r="V148" t="str">
        <f t="shared" si="7"/>
        <v>mww</v>
      </c>
      <c r="X148">
        <f t="shared" si="8"/>
        <v>2019</v>
      </c>
    </row>
    <row r="149" spans="1:24">
      <c r="A149" t="s">
        <v>322</v>
      </c>
      <c r="B149">
        <v>6.6</v>
      </c>
      <c r="C149" s="1">
        <v>43773.946527777778</v>
      </c>
      <c r="D149">
        <v>4</v>
      </c>
      <c r="E149">
        <v>4</v>
      </c>
      <c r="F149" t="s">
        <v>15</v>
      </c>
      <c r="G149">
        <v>1</v>
      </c>
      <c r="H149">
        <v>673</v>
      </c>
      <c r="I149" t="s">
        <v>46</v>
      </c>
      <c r="J149">
        <v>0</v>
      </c>
      <c r="K149">
        <v>5.0860000000000003</v>
      </c>
      <c r="L149">
        <v>48</v>
      </c>
      <c r="M149" t="s">
        <v>14</v>
      </c>
      <c r="N149">
        <v>10</v>
      </c>
      <c r="O149">
        <v>-18.5747</v>
      </c>
      <c r="P149">
        <v>-175.27199999999999</v>
      </c>
      <c r="Q149" t="s">
        <v>130</v>
      </c>
      <c r="U149" t="str">
        <f t="shared" si="6"/>
        <v>N km direction of city</v>
      </c>
      <c r="V149" t="str">
        <f t="shared" si="7"/>
        <v>mww</v>
      </c>
      <c r="X149">
        <f t="shared" si="8"/>
        <v>2019</v>
      </c>
    </row>
    <row r="150" spans="1:24">
      <c r="A150" t="s">
        <v>323</v>
      </c>
      <c r="B150">
        <v>6.5</v>
      </c>
      <c r="C150" s="1">
        <v>43769.049305555563</v>
      </c>
      <c r="D150">
        <v>9</v>
      </c>
      <c r="E150">
        <v>7</v>
      </c>
      <c r="F150" t="s">
        <v>15</v>
      </c>
      <c r="G150">
        <v>1</v>
      </c>
      <c r="H150">
        <v>733</v>
      </c>
      <c r="I150" t="s">
        <v>46</v>
      </c>
      <c r="J150">
        <v>0</v>
      </c>
      <c r="K150">
        <v>0.42799999999999999</v>
      </c>
      <c r="L150">
        <v>19</v>
      </c>
      <c r="M150" t="s">
        <v>14</v>
      </c>
      <c r="N150">
        <v>10</v>
      </c>
      <c r="O150">
        <v>6.9097999999999997</v>
      </c>
      <c r="P150">
        <v>125.178</v>
      </c>
      <c r="Q150" t="s">
        <v>324</v>
      </c>
      <c r="S150" t="s">
        <v>158</v>
      </c>
      <c r="U150" t="str">
        <f t="shared" si="6"/>
        <v>N km direction of city</v>
      </c>
      <c r="V150" t="str">
        <f t="shared" si="7"/>
        <v>mww</v>
      </c>
      <c r="X150">
        <f t="shared" si="8"/>
        <v>2019</v>
      </c>
    </row>
    <row r="151" spans="1:24">
      <c r="A151" t="s">
        <v>325</v>
      </c>
      <c r="B151">
        <v>6.6</v>
      </c>
      <c r="C151" s="1">
        <v>43767.044444444437</v>
      </c>
      <c r="D151">
        <v>9</v>
      </c>
      <c r="E151">
        <v>7</v>
      </c>
      <c r="F151" t="s">
        <v>18</v>
      </c>
      <c r="G151">
        <v>1</v>
      </c>
      <c r="H151">
        <v>780</v>
      </c>
      <c r="I151" t="s">
        <v>46</v>
      </c>
      <c r="J151">
        <v>0</v>
      </c>
      <c r="K151">
        <v>0.64600000000000002</v>
      </c>
      <c r="L151">
        <v>24</v>
      </c>
      <c r="M151" t="s">
        <v>14</v>
      </c>
      <c r="N151">
        <v>15</v>
      </c>
      <c r="O151">
        <v>6.7567000000000004</v>
      </c>
      <c r="P151">
        <v>125.008</v>
      </c>
      <c r="Q151" t="s">
        <v>326</v>
      </c>
      <c r="S151" t="s">
        <v>158</v>
      </c>
      <c r="U151" t="str">
        <f t="shared" si="6"/>
        <v>N km direction of city</v>
      </c>
      <c r="V151" t="str">
        <f t="shared" si="7"/>
        <v>mww</v>
      </c>
      <c r="X151">
        <f t="shared" si="8"/>
        <v>2019</v>
      </c>
    </row>
    <row r="152" spans="1:24">
      <c r="A152" t="s">
        <v>327</v>
      </c>
      <c r="B152">
        <v>6.7</v>
      </c>
      <c r="C152" s="1">
        <v>43737.664583333331</v>
      </c>
      <c r="D152">
        <v>7</v>
      </c>
      <c r="E152">
        <v>6</v>
      </c>
      <c r="F152" t="s">
        <v>15</v>
      </c>
      <c r="G152">
        <v>1</v>
      </c>
      <c r="H152">
        <v>844</v>
      </c>
      <c r="I152" t="s">
        <v>46</v>
      </c>
      <c r="J152">
        <v>0</v>
      </c>
      <c r="K152">
        <v>1.2689999999999999</v>
      </c>
      <c r="L152">
        <v>98</v>
      </c>
      <c r="M152" t="s">
        <v>14</v>
      </c>
      <c r="N152">
        <v>11</v>
      </c>
      <c r="O152">
        <v>-35.4758</v>
      </c>
      <c r="P152">
        <v>-73.162999999999997</v>
      </c>
      <c r="Q152" t="s">
        <v>328</v>
      </c>
      <c r="U152" t="str">
        <f t="shared" si="6"/>
        <v>N km direction of city</v>
      </c>
      <c r="V152" t="str">
        <f t="shared" si="7"/>
        <v>mww</v>
      </c>
      <c r="X152">
        <f t="shared" si="8"/>
        <v>2019</v>
      </c>
    </row>
    <row r="153" spans="1:24">
      <c r="A153" t="s">
        <v>329</v>
      </c>
      <c r="B153">
        <v>6.5</v>
      </c>
      <c r="C153" s="1">
        <v>43733.990277777782</v>
      </c>
      <c r="D153">
        <v>7</v>
      </c>
      <c r="E153">
        <v>7</v>
      </c>
      <c r="F153" t="s">
        <v>18</v>
      </c>
      <c r="G153">
        <v>1</v>
      </c>
      <c r="H153">
        <v>656</v>
      </c>
      <c r="I153" t="s">
        <v>46</v>
      </c>
      <c r="J153">
        <v>0</v>
      </c>
      <c r="K153">
        <v>3.9089999999999998</v>
      </c>
      <c r="L153">
        <v>15</v>
      </c>
      <c r="M153" t="s">
        <v>14</v>
      </c>
      <c r="N153">
        <v>12.26</v>
      </c>
      <c r="O153">
        <v>-3.4527999999999999</v>
      </c>
      <c r="P153">
        <v>128.37</v>
      </c>
      <c r="Q153" t="s">
        <v>330</v>
      </c>
      <c r="S153" t="s">
        <v>77</v>
      </c>
      <c r="U153" t="str">
        <f t="shared" si="6"/>
        <v>N km direction of city</v>
      </c>
      <c r="V153" t="str">
        <f t="shared" si="7"/>
        <v>mww</v>
      </c>
      <c r="X153">
        <f t="shared" si="8"/>
        <v>2019</v>
      </c>
    </row>
    <row r="154" spans="1:24">
      <c r="A154" t="s">
        <v>331</v>
      </c>
      <c r="B154">
        <v>6.6</v>
      </c>
      <c r="C154" s="1">
        <v>43709.662499999999</v>
      </c>
      <c r="D154">
        <v>2</v>
      </c>
      <c r="E154">
        <v>3</v>
      </c>
      <c r="G154">
        <v>1</v>
      </c>
      <c r="H154">
        <v>671</v>
      </c>
      <c r="I154" t="s">
        <v>46</v>
      </c>
      <c r="J154">
        <v>0</v>
      </c>
      <c r="K154">
        <v>4.1210000000000004</v>
      </c>
      <c r="L154">
        <v>19</v>
      </c>
      <c r="M154" t="s">
        <v>14</v>
      </c>
      <c r="N154">
        <v>591</v>
      </c>
      <c r="O154">
        <v>-20.364100000000001</v>
      </c>
      <c r="P154">
        <v>-178.57</v>
      </c>
      <c r="Q154" t="s">
        <v>321</v>
      </c>
      <c r="S154" t="s">
        <v>128</v>
      </c>
      <c r="U154" t="str">
        <f t="shared" si="6"/>
        <v>N km direction of city</v>
      </c>
      <c r="V154" t="str">
        <f t="shared" si="7"/>
        <v>mww</v>
      </c>
      <c r="X154">
        <f t="shared" si="8"/>
        <v>2019</v>
      </c>
    </row>
    <row r="155" spans="1:24">
      <c r="A155" t="s">
        <v>332</v>
      </c>
      <c r="B155">
        <v>6.6</v>
      </c>
      <c r="C155" s="1">
        <v>43704.996527777781</v>
      </c>
      <c r="D155">
        <v>0</v>
      </c>
      <c r="E155">
        <v>4</v>
      </c>
      <c r="F155" t="s">
        <v>15</v>
      </c>
      <c r="G155">
        <v>1</v>
      </c>
      <c r="H155">
        <v>670</v>
      </c>
      <c r="I155" t="s">
        <v>46</v>
      </c>
      <c r="J155">
        <v>0</v>
      </c>
      <c r="K155">
        <v>12.896000000000001</v>
      </c>
      <c r="L155">
        <v>19</v>
      </c>
      <c r="M155" t="s">
        <v>14</v>
      </c>
      <c r="N155">
        <v>16</v>
      </c>
      <c r="O155">
        <v>-60.215200000000003</v>
      </c>
      <c r="P155">
        <v>-26.580100000000002</v>
      </c>
      <c r="Q155" t="s">
        <v>333</v>
      </c>
      <c r="S155" t="s">
        <v>334</v>
      </c>
      <c r="U155" t="str">
        <f t="shared" si="6"/>
        <v>N km direction of city</v>
      </c>
      <c r="V155" t="str">
        <f t="shared" si="7"/>
        <v>mww</v>
      </c>
      <c r="X155">
        <f t="shared" si="8"/>
        <v>2019</v>
      </c>
    </row>
    <row r="156" spans="1:24">
      <c r="A156" t="s">
        <v>335</v>
      </c>
      <c r="B156">
        <v>6.9</v>
      </c>
      <c r="C156" s="1">
        <v>43679.502083333333</v>
      </c>
      <c r="D156">
        <v>4</v>
      </c>
      <c r="E156">
        <v>6</v>
      </c>
      <c r="F156" t="s">
        <v>15</v>
      </c>
      <c r="G156">
        <v>0</v>
      </c>
      <c r="H156">
        <v>875</v>
      </c>
      <c r="I156" t="s">
        <v>46</v>
      </c>
      <c r="J156">
        <v>0</v>
      </c>
      <c r="K156">
        <v>2.839</v>
      </c>
      <c r="L156">
        <v>23</v>
      </c>
      <c r="M156" t="s">
        <v>14</v>
      </c>
      <c r="N156">
        <v>49</v>
      </c>
      <c r="O156">
        <v>-7.2821999999999996</v>
      </c>
      <c r="P156">
        <v>104.791</v>
      </c>
      <c r="Q156" t="s">
        <v>183</v>
      </c>
      <c r="U156" t="str">
        <f t="shared" si="6"/>
        <v>N km direction of city</v>
      </c>
      <c r="V156" t="str">
        <f t="shared" si="7"/>
        <v>mww</v>
      </c>
      <c r="X156">
        <f t="shared" si="8"/>
        <v>2019</v>
      </c>
    </row>
    <row r="157" spans="1:24">
      <c r="A157" t="s">
        <v>336</v>
      </c>
      <c r="B157">
        <v>6.8</v>
      </c>
      <c r="C157" s="1">
        <v>43678.769444444442</v>
      </c>
      <c r="D157">
        <v>6</v>
      </c>
      <c r="E157">
        <v>6</v>
      </c>
      <c r="F157" t="s">
        <v>15</v>
      </c>
      <c r="G157">
        <v>1</v>
      </c>
      <c r="H157">
        <v>947</v>
      </c>
      <c r="I157" t="s">
        <v>46</v>
      </c>
      <c r="J157">
        <v>0</v>
      </c>
      <c r="K157">
        <v>0.81699999999999995</v>
      </c>
      <c r="L157">
        <v>35</v>
      </c>
      <c r="M157" t="s">
        <v>14</v>
      </c>
      <c r="N157">
        <v>25</v>
      </c>
      <c r="O157">
        <v>-34.236400000000003</v>
      </c>
      <c r="P157">
        <v>-72.310199999999995</v>
      </c>
      <c r="Q157" t="s">
        <v>337</v>
      </c>
      <c r="U157" t="str">
        <f t="shared" si="6"/>
        <v>N km direction of city</v>
      </c>
      <c r="V157" t="str">
        <f t="shared" si="7"/>
        <v>mww</v>
      </c>
      <c r="X157">
        <f t="shared" si="8"/>
        <v>2019</v>
      </c>
    </row>
    <row r="158" spans="1:24">
      <c r="A158" t="s">
        <v>338</v>
      </c>
      <c r="B158">
        <v>6.6</v>
      </c>
      <c r="C158" s="1">
        <v>43677.626388888893</v>
      </c>
      <c r="D158">
        <v>0</v>
      </c>
      <c r="E158">
        <v>4</v>
      </c>
      <c r="F158" t="s">
        <v>15</v>
      </c>
      <c r="G158">
        <v>1</v>
      </c>
      <c r="H158">
        <v>670</v>
      </c>
      <c r="I158" t="s">
        <v>46</v>
      </c>
      <c r="J158">
        <v>0</v>
      </c>
      <c r="K158">
        <v>6.024</v>
      </c>
      <c r="L158">
        <v>30</v>
      </c>
      <c r="M158" t="s">
        <v>14</v>
      </c>
      <c r="N158">
        <v>181</v>
      </c>
      <c r="O158">
        <v>-16.198499999999999</v>
      </c>
      <c r="P158">
        <v>167.99799999999999</v>
      </c>
      <c r="Q158" t="s">
        <v>339</v>
      </c>
      <c r="S158" t="s">
        <v>48</v>
      </c>
      <c r="U158" t="str">
        <f t="shared" si="6"/>
        <v>N km direction of city</v>
      </c>
      <c r="V158" t="str">
        <f t="shared" si="7"/>
        <v>mww</v>
      </c>
      <c r="X158">
        <f t="shared" si="8"/>
        <v>2019</v>
      </c>
    </row>
    <row r="159" spans="1:24">
      <c r="A159" t="s">
        <v>340</v>
      </c>
      <c r="B159">
        <v>7.2</v>
      </c>
      <c r="C159" s="1">
        <v>43660.381944444453</v>
      </c>
      <c r="D159">
        <v>7</v>
      </c>
      <c r="E159">
        <v>7</v>
      </c>
      <c r="F159" t="s">
        <v>15</v>
      </c>
      <c r="G159">
        <v>1</v>
      </c>
      <c r="H159">
        <v>809</v>
      </c>
      <c r="I159" t="s">
        <v>46</v>
      </c>
      <c r="J159">
        <v>0</v>
      </c>
      <c r="K159">
        <v>1.504</v>
      </c>
      <c r="L159">
        <v>38</v>
      </c>
      <c r="M159" t="s">
        <v>14</v>
      </c>
      <c r="N159">
        <v>18.98</v>
      </c>
      <c r="O159">
        <v>-0.58579999999999999</v>
      </c>
      <c r="P159">
        <v>128.03399999999999</v>
      </c>
      <c r="Q159" t="s">
        <v>341</v>
      </c>
      <c r="S159" t="s">
        <v>77</v>
      </c>
      <c r="U159" t="str">
        <f t="shared" si="6"/>
        <v>N km direction of city</v>
      </c>
      <c r="V159" t="str">
        <f t="shared" si="7"/>
        <v>mww</v>
      </c>
      <c r="X159">
        <f t="shared" si="8"/>
        <v>2019</v>
      </c>
    </row>
    <row r="160" spans="1:24">
      <c r="A160" t="s">
        <v>342</v>
      </c>
      <c r="B160">
        <v>6.6</v>
      </c>
      <c r="C160" s="1">
        <v>43660.23541666667</v>
      </c>
      <c r="D160">
        <v>5</v>
      </c>
      <c r="E160">
        <v>5</v>
      </c>
      <c r="F160" t="s">
        <v>15</v>
      </c>
      <c r="G160">
        <v>0</v>
      </c>
      <c r="H160">
        <v>791</v>
      </c>
      <c r="I160" t="s">
        <v>46</v>
      </c>
      <c r="J160">
        <v>0</v>
      </c>
      <c r="K160">
        <v>2.9780000000000002</v>
      </c>
      <c r="L160">
        <v>32</v>
      </c>
      <c r="M160" t="s">
        <v>14</v>
      </c>
      <c r="N160">
        <v>10</v>
      </c>
      <c r="O160">
        <v>-18.2242</v>
      </c>
      <c r="P160">
        <v>120.358</v>
      </c>
      <c r="Q160" t="s">
        <v>343</v>
      </c>
      <c r="U160" t="str">
        <f t="shared" si="6"/>
        <v>N km direction of city</v>
      </c>
      <c r="V160" t="str">
        <f t="shared" si="7"/>
        <v>mww</v>
      </c>
      <c r="X160">
        <f t="shared" si="8"/>
        <v>2019</v>
      </c>
    </row>
    <row r="161" spans="1:24">
      <c r="A161" t="s">
        <v>344</v>
      </c>
      <c r="B161">
        <v>6.9</v>
      </c>
      <c r="C161" s="1">
        <v>43653.630555555559</v>
      </c>
      <c r="D161">
        <v>7</v>
      </c>
      <c r="E161">
        <v>5</v>
      </c>
      <c r="F161" t="s">
        <v>15</v>
      </c>
      <c r="G161">
        <v>0</v>
      </c>
      <c r="H161">
        <v>747</v>
      </c>
      <c r="I161" t="s">
        <v>46</v>
      </c>
      <c r="J161">
        <v>0</v>
      </c>
      <c r="K161">
        <v>1.2050000000000001</v>
      </c>
      <c r="L161">
        <v>21</v>
      </c>
      <c r="M161" t="s">
        <v>14</v>
      </c>
      <c r="N161">
        <v>35</v>
      </c>
      <c r="O161">
        <v>0.51259999999999994</v>
      </c>
      <c r="P161">
        <v>126.18899999999999</v>
      </c>
      <c r="Q161" t="s">
        <v>345</v>
      </c>
      <c r="S161" t="s">
        <v>77</v>
      </c>
      <c r="U161" t="str">
        <f t="shared" si="6"/>
        <v>N km direction of city</v>
      </c>
      <c r="V161" t="str">
        <f t="shared" si="7"/>
        <v>mww</v>
      </c>
      <c r="X161">
        <f t="shared" si="8"/>
        <v>2019</v>
      </c>
    </row>
    <row r="162" spans="1:24">
      <c r="A162" t="s">
        <v>346</v>
      </c>
      <c r="B162">
        <v>7.1</v>
      </c>
      <c r="C162" s="1">
        <v>43652.138194444437</v>
      </c>
      <c r="D162">
        <v>9</v>
      </c>
      <c r="E162">
        <v>9</v>
      </c>
      <c r="F162" t="s">
        <v>18</v>
      </c>
      <c r="G162">
        <v>0</v>
      </c>
      <c r="H162">
        <v>1646</v>
      </c>
      <c r="I162" t="s">
        <v>347</v>
      </c>
      <c r="J162">
        <v>77</v>
      </c>
      <c r="K162">
        <v>4.616E-2</v>
      </c>
      <c r="L162">
        <v>43</v>
      </c>
      <c r="M162" t="s">
        <v>11</v>
      </c>
      <c r="N162">
        <v>8</v>
      </c>
      <c r="O162">
        <v>35.769500000000001</v>
      </c>
      <c r="P162">
        <v>-117.599</v>
      </c>
      <c r="Q162" t="s">
        <v>348</v>
      </c>
      <c r="R162" t="s">
        <v>139</v>
      </c>
      <c r="S162" t="s">
        <v>204</v>
      </c>
      <c r="U162" t="str">
        <f t="shared" si="6"/>
        <v>N km direction of city</v>
      </c>
      <c r="V162" t="str">
        <f t="shared" si="7"/>
        <v>mw</v>
      </c>
      <c r="X162">
        <f t="shared" si="8"/>
        <v>2019</v>
      </c>
    </row>
    <row r="163" spans="1:24">
      <c r="A163" t="s">
        <v>349</v>
      </c>
      <c r="B163">
        <v>7.3</v>
      </c>
      <c r="C163" s="1">
        <v>43640.120138888888</v>
      </c>
      <c r="D163">
        <v>4</v>
      </c>
      <c r="E163">
        <v>6</v>
      </c>
      <c r="F163" t="s">
        <v>15</v>
      </c>
      <c r="G163">
        <v>1</v>
      </c>
      <c r="H163">
        <v>952</v>
      </c>
      <c r="I163" t="s">
        <v>46</v>
      </c>
      <c r="J163">
        <v>0</v>
      </c>
      <c r="K163">
        <v>2.629</v>
      </c>
      <c r="L163">
        <v>16</v>
      </c>
      <c r="M163" t="s">
        <v>14</v>
      </c>
      <c r="N163">
        <v>212</v>
      </c>
      <c r="O163">
        <v>-6.4077999999999999</v>
      </c>
      <c r="P163">
        <v>129.16900000000001</v>
      </c>
      <c r="Q163" t="s">
        <v>350</v>
      </c>
      <c r="S163" t="s">
        <v>77</v>
      </c>
      <c r="U163" t="str">
        <f t="shared" si="6"/>
        <v>N km direction of city</v>
      </c>
      <c r="V163" t="str">
        <f t="shared" si="7"/>
        <v>mww</v>
      </c>
      <c r="X163">
        <f t="shared" si="8"/>
        <v>2019</v>
      </c>
    </row>
    <row r="164" spans="1:24">
      <c r="A164" t="s">
        <v>351</v>
      </c>
      <c r="B164">
        <v>7.3</v>
      </c>
      <c r="C164" s="1">
        <v>43631.954861111109</v>
      </c>
      <c r="D164">
        <v>8</v>
      </c>
      <c r="E164">
        <v>6</v>
      </c>
      <c r="F164" t="s">
        <v>15</v>
      </c>
      <c r="G164">
        <v>1</v>
      </c>
      <c r="H164">
        <v>830</v>
      </c>
      <c r="I164" t="s">
        <v>46</v>
      </c>
      <c r="J164">
        <v>0</v>
      </c>
      <c r="K164">
        <v>1.4019999999999999</v>
      </c>
      <c r="L164">
        <v>11</v>
      </c>
      <c r="M164" t="s">
        <v>14</v>
      </c>
      <c r="N164">
        <v>46</v>
      </c>
      <c r="O164">
        <v>-30.644100000000002</v>
      </c>
      <c r="P164">
        <v>-178.1</v>
      </c>
      <c r="Q164" t="s">
        <v>352</v>
      </c>
      <c r="U164" t="str">
        <f t="shared" si="6"/>
        <v>N km direction of city</v>
      </c>
      <c r="V164" t="str">
        <f t="shared" si="7"/>
        <v>mww</v>
      </c>
      <c r="X164">
        <f t="shared" si="8"/>
        <v>2019</v>
      </c>
    </row>
    <row r="165" spans="1:24">
      <c r="A165" t="s">
        <v>353</v>
      </c>
      <c r="B165">
        <v>6.6</v>
      </c>
      <c r="C165" s="1">
        <v>43615.377083333333</v>
      </c>
      <c r="D165">
        <v>7</v>
      </c>
      <c r="E165">
        <v>6</v>
      </c>
      <c r="F165" t="s">
        <v>18</v>
      </c>
      <c r="G165">
        <v>1</v>
      </c>
      <c r="H165">
        <v>886</v>
      </c>
      <c r="I165" t="s">
        <v>46</v>
      </c>
      <c r="J165">
        <v>0</v>
      </c>
      <c r="K165">
        <v>1.1930000000000001</v>
      </c>
      <c r="L165">
        <v>22</v>
      </c>
      <c r="M165" t="s">
        <v>14</v>
      </c>
      <c r="N165">
        <v>57.92</v>
      </c>
      <c r="O165">
        <v>13.199400000000001</v>
      </c>
      <c r="P165">
        <v>-89.305599999999998</v>
      </c>
      <c r="Q165" t="s">
        <v>354</v>
      </c>
      <c r="U165" t="str">
        <f t="shared" si="6"/>
        <v>N km direction of city</v>
      </c>
      <c r="V165" t="str">
        <f t="shared" si="7"/>
        <v>mww</v>
      </c>
      <c r="X165">
        <f t="shared" si="8"/>
        <v>2019</v>
      </c>
    </row>
    <row r="166" spans="1:24">
      <c r="A166" t="s">
        <v>355</v>
      </c>
      <c r="B166">
        <v>8</v>
      </c>
      <c r="C166" s="1">
        <v>43611.320138888892</v>
      </c>
      <c r="D166">
        <v>9</v>
      </c>
      <c r="E166">
        <v>8</v>
      </c>
      <c r="F166" t="s">
        <v>16</v>
      </c>
      <c r="G166">
        <v>1</v>
      </c>
      <c r="H166">
        <v>1890</v>
      </c>
      <c r="I166" t="s">
        <v>46</v>
      </c>
      <c r="J166">
        <v>0</v>
      </c>
      <c r="K166">
        <v>3.18</v>
      </c>
      <c r="L166">
        <v>17</v>
      </c>
      <c r="M166" t="s">
        <v>14</v>
      </c>
      <c r="N166">
        <v>122.57</v>
      </c>
      <c r="O166">
        <v>-5.8118999999999996</v>
      </c>
      <c r="P166">
        <v>-75.2697</v>
      </c>
      <c r="Q166" t="s">
        <v>356</v>
      </c>
      <c r="R166" t="s">
        <v>53</v>
      </c>
      <c r="S166" t="s">
        <v>164</v>
      </c>
      <c r="U166" t="str">
        <f t="shared" si="6"/>
        <v>N km direction of city</v>
      </c>
      <c r="V166" t="str">
        <f t="shared" si="7"/>
        <v>mww</v>
      </c>
      <c r="X166">
        <f t="shared" si="8"/>
        <v>2019</v>
      </c>
    </row>
    <row r="167" spans="1:24">
      <c r="A167" t="s">
        <v>357</v>
      </c>
      <c r="B167">
        <v>7.6</v>
      </c>
      <c r="C167" s="1">
        <v>43599.540277777778</v>
      </c>
      <c r="D167">
        <v>7</v>
      </c>
      <c r="E167">
        <v>7</v>
      </c>
      <c r="F167" t="s">
        <v>15</v>
      </c>
      <c r="G167">
        <v>1</v>
      </c>
      <c r="H167">
        <v>929</v>
      </c>
      <c r="I167" t="s">
        <v>46</v>
      </c>
      <c r="J167">
        <v>0</v>
      </c>
      <c r="K167">
        <v>0.45300000000000001</v>
      </c>
      <c r="L167">
        <v>16</v>
      </c>
      <c r="M167" t="s">
        <v>14</v>
      </c>
      <c r="N167">
        <v>10</v>
      </c>
      <c r="O167">
        <v>-4.0510000000000002</v>
      </c>
      <c r="P167">
        <v>152.59700000000001</v>
      </c>
      <c r="Q167" t="s">
        <v>358</v>
      </c>
      <c r="S167" t="s">
        <v>89</v>
      </c>
      <c r="U167" t="str">
        <f t="shared" si="6"/>
        <v>N km direction of city</v>
      </c>
      <c r="V167" t="str">
        <f t="shared" si="7"/>
        <v>mww</v>
      </c>
      <c r="X167">
        <f t="shared" si="8"/>
        <v>2019</v>
      </c>
    </row>
    <row r="168" spans="1:24">
      <c r="A168" t="s">
        <v>359</v>
      </c>
      <c r="B168">
        <v>7.1</v>
      </c>
      <c r="C168" s="1">
        <v>43591.888194444437</v>
      </c>
      <c r="D168">
        <v>7</v>
      </c>
      <c r="E168">
        <v>6</v>
      </c>
      <c r="F168" t="s">
        <v>18</v>
      </c>
      <c r="G168">
        <v>1</v>
      </c>
      <c r="H168">
        <v>826</v>
      </c>
      <c r="I168" t="s">
        <v>46</v>
      </c>
      <c r="J168">
        <v>0</v>
      </c>
      <c r="K168">
        <v>2.5139999999999998</v>
      </c>
      <c r="L168">
        <v>16</v>
      </c>
      <c r="M168" t="s">
        <v>14</v>
      </c>
      <c r="N168">
        <v>146</v>
      </c>
      <c r="O168">
        <v>-6.9745999999999997</v>
      </c>
      <c r="P168">
        <v>146.44900000000001</v>
      </c>
      <c r="Q168" t="s">
        <v>360</v>
      </c>
      <c r="S168" t="s">
        <v>89</v>
      </c>
      <c r="U168" t="str">
        <f t="shared" si="6"/>
        <v>N km direction of city</v>
      </c>
      <c r="V168" t="str">
        <f t="shared" si="7"/>
        <v>mww</v>
      </c>
      <c r="X168">
        <f t="shared" si="8"/>
        <v>2019</v>
      </c>
    </row>
    <row r="169" spans="1:24">
      <c r="A169" t="s">
        <v>361</v>
      </c>
      <c r="B169">
        <v>6.8</v>
      </c>
      <c r="C169" s="1">
        <v>43567.486111111109</v>
      </c>
      <c r="D169">
        <v>5</v>
      </c>
      <c r="E169">
        <v>6</v>
      </c>
      <c r="F169" t="s">
        <v>15</v>
      </c>
      <c r="G169">
        <v>1</v>
      </c>
      <c r="H169">
        <v>717</v>
      </c>
      <c r="I169" t="s">
        <v>46</v>
      </c>
      <c r="J169">
        <v>0</v>
      </c>
      <c r="K169">
        <v>0.79100000000000004</v>
      </c>
      <c r="L169">
        <v>28</v>
      </c>
      <c r="M169" t="s">
        <v>14</v>
      </c>
      <c r="N169">
        <v>15.46</v>
      </c>
      <c r="O169">
        <v>-1.8146</v>
      </c>
      <c r="P169">
        <v>122.58</v>
      </c>
      <c r="Q169" t="s">
        <v>362</v>
      </c>
      <c r="S169" t="s">
        <v>77</v>
      </c>
      <c r="U169" t="str">
        <f t="shared" si="6"/>
        <v>N km direction of city</v>
      </c>
      <c r="V169" t="str">
        <f t="shared" si="7"/>
        <v>mww</v>
      </c>
      <c r="X169">
        <f t="shared" si="8"/>
        <v>2019</v>
      </c>
    </row>
    <row r="170" spans="1:24">
      <c r="A170" t="s">
        <v>363</v>
      </c>
      <c r="B170">
        <v>6.5</v>
      </c>
      <c r="C170" s="1">
        <v>43564.745138888888</v>
      </c>
      <c r="D170">
        <v>0</v>
      </c>
      <c r="E170">
        <v>5</v>
      </c>
      <c r="F170" t="s">
        <v>15</v>
      </c>
      <c r="G170">
        <v>1</v>
      </c>
      <c r="H170">
        <v>650</v>
      </c>
      <c r="I170" t="s">
        <v>46</v>
      </c>
      <c r="J170">
        <v>0</v>
      </c>
      <c r="K170">
        <v>7.5679999999999996</v>
      </c>
      <c r="L170">
        <v>18</v>
      </c>
      <c r="M170" t="s">
        <v>14</v>
      </c>
      <c r="N170">
        <v>38</v>
      </c>
      <c r="O170">
        <v>-58.626199999999997</v>
      </c>
      <c r="P170">
        <v>-25.303999999999998</v>
      </c>
      <c r="Q170" t="s">
        <v>333</v>
      </c>
      <c r="U170" t="str">
        <f t="shared" si="6"/>
        <v>N km direction of city</v>
      </c>
      <c r="V170" t="str">
        <f t="shared" si="7"/>
        <v>mww</v>
      </c>
      <c r="X170">
        <f t="shared" si="8"/>
        <v>2019</v>
      </c>
    </row>
    <row r="171" spans="1:24">
      <c r="A171" t="s">
        <v>364</v>
      </c>
      <c r="B171">
        <v>7</v>
      </c>
      <c r="C171" s="1">
        <v>43525.368055555547</v>
      </c>
      <c r="D171">
        <v>7</v>
      </c>
      <c r="E171">
        <v>4</v>
      </c>
      <c r="F171" t="s">
        <v>15</v>
      </c>
      <c r="G171">
        <v>1</v>
      </c>
      <c r="H171">
        <v>869</v>
      </c>
      <c r="I171" t="s">
        <v>46</v>
      </c>
      <c r="J171">
        <v>0</v>
      </c>
      <c r="K171">
        <v>2.5009999999999999</v>
      </c>
      <c r="L171">
        <v>42</v>
      </c>
      <c r="M171" t="s">
        <v>14</v>
      </c>
      <c r="N171">
        <v>267</v>
      </c>
      <c r="O171">
        <v>-14.713100000000001</v>
      </c>
      <c r="P171">
        <v>-70.154600000000002</v>
      </c>
      <c r="Q171" t="s">
        <v>163</v>
      </c>
      <c r="R171" t="s">
        <v>53</v>
      </c>
      <c r="S171" t="s">
        <v>164</v>
      </c>
      <c r="U171" t="str">
        <f t="shared" si="6"/>
        <v>N km direction of city</v>
      </c>
      <c r="V171" t="str">
        <f t="shared" si="7"/>
        <v>mww</v>
      </c>
      <c r="X171">
        <f t="shared" si="8"/>
        <v>2019</v>
      </c>
    </row>
    <row r="172" spans="1:24">
      <c r="A172" t="s">
        <v>365</v>
      </c>
      <c r="B172">
        <v>7.5</v>
      </c>
      <c r="C172" s="1">
        <v>43518.428472222222</v>
      </c>
      <c r="D172">
        <v>7</v>
      </c>
      <c r="E172">
        <v>7</v>
      </c>
      <c r="F172" t="s">
        <v>18</v>
      </c>
      <c r="G172">
        <v>1</v>
      </c>
      <c r="H172">
        <v>1145</v>
      </c>
      <c r="I172" t="s">
        <v>46</v>
      </c>
      <c r="J172">
        <v>0</v>
      </c>
      <c r="K172">
        <v>2.0449999999999999</v>
      </c>
      <c r="L172">
        <v>15</v>
      </c>
      <c r="M172" t="s">
        <v>14</v>
      </c>
      <c r="N172">
        <v>145</v>
      </c>
      <c r="O172">
        <v>-2.1861999999999999</v>
      </c>
      <c r="P172">
        <v>-77.0505</v>
      </c>
      <c r="Q172" t="s">
        <v>366</v>
      </c>
      <c r="R172" t="s">
        <v>53</v>
      </c>
      <c r="S172" t="s">
        <v>96</v>
      </c>
      <c r="U172" t="str">
        <f t="shared" si="6"/>
        <v>N km direction of city</v>
      </c>
      <c r="V172" t="str">
        <f t="shared" si="7"/>
        <v>mww</v>
      </c>
      <c r="X172">
        <f t="shared" si="8"/>
        <v>2019</v>
      </c>
    </row>
    <row r="173" spans="1:24">
      <c r="A173" t="s">
        <v>367</v>
      </c>
      <c r="B173">
        <v>6.7</v>
      </c>
      <c r="C173" s="1">
        <v>43497.676388888889</v>
      </c>
      <c r="D173">
        <v>6</v>
      </c>
      <c r="E173">
        <v>6</v>
      </c>
      <c r="F173" t="s">
        <v>18</v>
      </c>
      <c r="G173">
        <v>1</v>
      </c>
      <c r="H173">
        <v>909</v>
      </c>
      <c r="I173" t="s">
        <v>46</v>
      </c>
      <c r="J173">
        <v>0</v>
      </c>
      <c r="K173">
        <v>0.28899999999999998</v>
      </c>
      <c r="L173">
        <v>43</v>
      </c>
      <c r="M173" t="s">
        <v>14</v>
      </c>
      <c r="N173">
        <v>66</v>
      </c>
      <c r="O173">
        <v>14.680199999999999</v>
      </c>
      <c r="P173">
        <v>-92.452699999999993</v>
      </c>
      <c r="Q173" t="s">
        <v>368</v>
      </c>
      <c r="S173" t="s">
        <v>140</v>
      </c>
      <c r="U173" t="str">
        <f t="shared" si="6"/>
        <v>N km direction of city</v>
      </c>
      <c r="V173" t="str">
        <f t="shared" si="7"/>
        <v>mww</v>
      </c>
      <c r="X173">
        <f t="shared" si="8"/>
        <v>2019</v>
      </c>
    </row>
    <row r="174" spans="1:24">
      <c r="A174" t="s">
        <v>369</v>
      </c>
      <c r="B174">
        <v>6.7</v>
      </c>
      <c r="C174" s="1">
        <v>43487.792361111111</v>
      </c>
      <c r="D174">
        <v>0</v>
      </c>
      <c r="E174">
        <v>3</v>
      </c>
      <c r="F174" t="s">
        <v>15</v>
      </c>
      <c r="G174">
        <v>0</v>
      </c>
      <c r="H174">
        <v>691</v>
      </c>
      <c r="I174" t="s">
        <v>46</v>
      </c>
      <c r="J174">
        <v>0</v>
      </c>
      <c r="K174">
        <v>7.5270000000000001</v>
      </c>
      <c r="L174">
        <v>17</v>
      </c>
      <c r="M174" t="s">
        <v>14</v>
      </c>
      <c r="N174">
        <v>13</v>
      </c>
      <c r="O174">
        <v>-43.121899999999997</v>
      </c>
      <c r="P174">
        <v>42.3568</v>
      </c>
      <c r="Q174" t="s">
        <v>370</v>
      </c>
      <c r="U174" t="str">
        <f t="shared" si="6"/>
        <v>Named-region</v>
      </c>
      <c r="V174" t="str">
        <f t="shared" si="7"/>
        <v>mww</v>
      </c>
      <c r="X174">
        <f t="shared" si="8"/>
        <v>2019</v>
      </c>
    </row>
    <row r="175" spans="1:24">
      <c r="A175" t="s">
        <v>371</v>
      </c>
      <c r="B175">
        <v>6.7</v>
      </c>
      <c r="C175" s="1">
        <v>43485.063888888893</v>
      </c>
      <c r="D175">
        <v>8</v>
      </c>
      <c r="E175">
        <v>8</v>
      </c>
      <c r="F175" t="s">
        <v>16</v>
      </c>
      <c r="G175">
        <v>1</v>
      </c>
      <c r="H175">
        <v>1600</v>
      </c>
      <c r="I175" t="s">
        <v>46</v>
      </c>
      <c r="J175">
        <v>0</v>
      </c>
      <c r="K175">
        <v>0.17299999999999999</v>
      </c>
      <c r="L175">
        <v>22</v>
      </c>
      <c r="M175" t="s">
        <v>14</v>
      </c>
      <c r="N175">
        <v>63</v>
      </c>
      <c r="O175">
        <v>-30.040400000000002</v>
      </c>
      <c r="P175">
        <v>-71.381500000000003</v>
      </c>
      <c r="Q175" t="s">
        <v>372</v>
      </c>
      <c r="R175" t="s">
        <v>53</v>
      </c>
      <c r="S175" t="s">
        <v>275</v>
      </c>
      <c r="U175" t="str">
        <f t="shared" si="6"/>
        <v>N km direction of city</v>
      </c>
      <c r="V175" t="str">
        <f t="shared" si="7"/>
        <v>mww</v>
      </c>
      <c r="X175">
        <f t="shared" si="8"/>
        <v>2019</v>
      </c>
    </row>
    <row r="176" spans="1:24">
      <c r="A176" t="s">
        <v>373</v>
      </c>
      <c r="B176">
        <v>6.6</v>
      </c>
      <c r="C176" s="1">
        <v>43480.754166666673</v>
      </c>
      <c r="D176">
        <v>5</v>
      </c>
      <c r="E176">
        <v>4</v>
      </c>
      <c r="F176" t="s">
        <v>15</v>
      </c>
      <c r="G176">
        <v>1</v>
      </c>
      <c r="H176">
        <v>671</v>
      </c>
      <c r="I176" t="s">
        <v>46</v>
      </c>
      <c r="J176">
        <v>0</v>
      </c>
      <c r="K176">
        <v>7.8179999999999996</v>
      </c>
      <c r="L176">
        <v>18</v>
      </c>
      <c r="M176" t="s">
        <v>14</v>
      </c>
      <c r="N176">
        <v>35</v>
      </c>
      <c r="O176">
        <v>-13.336</v>
      </c>
      <c r="P176">
        <v>166.875</v>
      </c>
      <c r="Q176" t="s">
        <v>47</v>
      </c>
      <c r="S176" t="s">
        <v>48</v>
      </c>
      <c r="U176" t="str">
        <f t="shared" si="6"/>
        <v>N km direction of city</v>
      </c>
      <c r="V176" t="str">
        <f t="shared" si="7"/>
        <v>mww</v>
      </c>
      <c r="X176">
        <f t="shared" si="8"/>
        <v>2019</v>
      </c>
    </row>
    <row r="177" spans="1:24">
      <c r="A177" t="s">
        <v>374</v>
      </c>
      <c r="B177">
        <v>6.6</v>
      </c>
      <c r="C177" s="1">
        <v>43471.727083333331</v>
      </c>
      <c r="D177">
        <v>2</v>
      </c>
      <c r="E177">
        <v>4</v>
      </c>
      <c r="F177" t="s">
        <v>15</v>
      </c>
      <c r="G177">
        <v>1</v>
      </c>
      <c r="H177">
        <v>672</v>
      </c>
      <c r="I177" t="s">
        <v>46</v>
      </c>
      <c r="J177">
        <v>0</v>
      </c>
      <c r="K177">
        <v>1.5960000000000001</v>
      </c>
      <c r="L177">
        <v>33</v>
      </c>
      <c r="M177" t="s">
        <v>14</v>
      </c>
      <c r="N177">
        <v>43.21</v>
      </c>
      <c r="O177">
        <v>2.258</v>
      </c>
      <c r="P177">
        <v>126.758</v>
      </c>
      <c r="Q177" t="s">
        <v>375</v>
      </c>
      <c r="S177" t="s">
        <v>77</v>
      </c>
      <c r="U177" t="str">
        <f t="shared" si="6"/>
        <v>Named-region</v>
      </c>
      <c r="V177" t="str">
        <f t="shared" si="7"/>
        <v>mww</v>
      </c>
      <c r="X177">
        <f t="shared" si="8"/>
        <v>2019</v>
      </c>
    </row>
    <row r="178" spans="1:24">
      <c r="A178" t="s">
        <v>376</v>
      </c>
      <c r="B178">
        <v>6.8</v>
      </c>
      <c r="C178" s="1">
        <v>43470.809027777781</v>
      </c>
      <c r="D178">
        <v>3</v>
      </c>
      <c r="E178">
        <v>3</v>
      </c>
      <c r="F178" t="s">
        <v>15</v>
      </c>
      <c r="G178">
        <v>0</v>
      </c>
      <c r="H178">
        <v>715</v>
      </c>
      <c r="I178" t="s">
        <v>46</v>
      </c>
      <c r="J178">
        <v>0</v>
      </c>
      <c r="K178">
        <v>1.181</v>
      </c>
      <c r="L178">
        <v>16</v>
      </c>
      <c r="M178" t="s">
        <v>14</v>
      </c>
      <c r="N178">
        <v>570.41</v>
      </c>
      <c r="O178">
        <v>-8.1440000000000001</v>
      </c>
      <c r="P178">
        <v>-71.587000000000003</v>
      </c>
      <c r="Q178" t="s">
        <v>377</v>
      </c>
      <c r="R178" t="s">
        <v>53</v>
      </c>
      <c r="S178" t="s">
        <v>161</v>
      </c>
      <c r="U178" t="str">
        <f t="shared" si="6"/>
        <v>N km direction of city</v>
      </c>
      <c r="V178" t="str">
        <f t="shared" si="7"/>
        <v>mww</v>
      </c>
      <c r="X178">
        <f t="shared" si="8"/>
        <v>2019</v>
      </c>
    </row>
    <row r="179" spans="1:24">
      <c r="A179" t="s">
        <v>378</v>
      </c>
      <c r="B179">
        <v>7</v>
      </c>
      <c r="C179" s="1">
        <v>43463.152083333327</v>
      </c>
      <c r="D179">
        <v>5</v>
      </c>
      <c r="E179">
        <v>5</v>
      </c>
      <c r="F179" t="s">
        <v>15</v>
      </c>
      <c r="G179">
        <v>1</v>
      </c>
      <c r="H179">
        <v>803</v>
      </c>
      <c r="I179" t="s">
        <v>46</v>
      </c>
      <c r="J179">
        <v>0</v>
      </c>
      <c r="K179">
        <v>1.7689999999999999</v>
      </c>
      <c r="L179">
        <v>21</v>
      </c>
      <c r="M179" t="s">
        <v>14</v>
      </c>
      <c r="N179">
        <v>60.21</v>
      </c>
      <c r="O179">
        <v>5.8982999999999999</v>
      </c>
      <c r="P179">
        <v>126.92100000000001</v>
      </c>
      <c r="Q179" t="s">
        <v>227</v>
      </c>
      <c r="U179" t="str">
        <f t="shared" si="6"/>
        <v>N km direction of city</v>
      </c>
      <c r="V179" t="str">
        <f t="shared" si="7"/>
        <v>mww</v>
      </c>
      <c r="X179">
        <f t="shared" si="8"/>
        <v>2018</v>
      </c>
    </row>
    <row r="180" spans="1:24">
      <c r="A180" t="s">
        <v>379</v>
      </c>
      <c r="B180">
        <v>7.3</v>
      </c>
      <c r="C180" s="1">
        <v>43454.709027777782</v>
      </c>
      <c r="D180">
        <v>3</v>
      </c>
      <c r="E180">
        <v>7</v>
      </c>
      <c r="F180" t="s">
        <v>15</v>
      </c>
      <c r="G180">
        <v>1</v>
      </c>
      <c r="H180">
        <v>822</v>
      </c>
      <c r="I180" t="s">
        <v>46</v>
      </c>
      <c r="J180">
        <v>0</v>
      </c>
      <c r="K180">
        <v>4.1260000000000003</v>
      </c>
      <c r="L180">
        <v>23</v>
      </c>
      <c r="M180" t="s">
        <v>14</v>
      </c>
      <c r="N180">
        <v>16.559999999999999</v>
      </c>
      <c r="O180">
        <v>55.099899999999998</v>
      </c>
      <c r="P180">
        <v>164.69900000000001</v>
      </c>
      <c r="Q180" t="s">
        <v>251</v>
      </c>
      <c r="U180" t="str">
        <f t="shared" si="6"/>
        <v>N km direction of city</v>
      </c>
      <c r="V180" t="str">
        <f t="shared" si="7"/>
        <v>mww</v>
      </c>
      <c r="X180">
        <f t="shared" si="8"/>
        <v>2018</v>
      </c>
    </row>
    <row r="181" spans="1:24">
      <c r="A181" t="s">
        <v>212</v>
      </c>
      <c r="B181">
        <v>7.1</v>
      </c>
      <c r="C181" s="1">
        <v>43445.101388888892</v>
      </c>
      <c r="D181">
        <v>0</v>
      </c>
      <c r="E181">
        <v>5</v>
      </c>
      <c r="F181" t="s">
        <v>15</v>
      </c>
      <c r="G181">
        <v>1</v>
      </c>
      <c r="H181">
        <v>776</v>
      </c>
      <c r="I181" t="s">
        <v>46</v>
      </c>
      <c r="J181">
        <v>0</v>
      </c>
      <c r="K181">
        <v>7.0430000000000001</v>
      </c>
      <c r="L181">
        <v>20</v>
      </c>
      <c r="M181" t="s">
        <v>14</v>
      </c>
      <c r="N181">
        <v>133</v>
      </c>
      <c r="O181">
        <v>-58.544600000000003</v>
      </c>
      <c r="P181">
        <v>-26.3856</v>
      </c>
      <c r="Q181" t="s">
        <v>213</v>
      </c>
      <c r="S181" t="s">
        <v>380</v>
      </c>
      <c r="U181" t="str">
        <f t="shared" si="6"/>
        <v>Named-region</v>
      </c>
      <c r="V181" t="str">
        <f t="shared" si="7"/>
        <v>mww</v>
      </c>
      <c r="X181">
        <f t="shared" si="8"/>
        <v>2018</v>
      </c>
    </row>
    <row r="182" spans="1:24">
      <c r="A182" t="s">
        <v>381</v>
      </c>
      <c r="B182">
        <v>6.6</v>
      </c>
      <c r="C182" s="1">
        <v>43439.279861111107</v>
      </c>
      <c r="D182">
        <v>0</v>
      </c>
      <c r="E182">
        <v>4</v>
      </c>
      <c r="F182" t="s">
        <v>15</v>
      </c>
      <c r="G182">
        <v>1</v>
      </c>
      <c r="H182">
        <v>670</v>
      </c>
      <c r="I182" t="s">
        <v>46</v>
      </c>
      <c r="J182">
        <v>0</v>
      </c>
      <c r="K182">
        <v>2.6789999999999998</v>
      </c>
      <c r="L182">
        <v>31</v>
      </c>
      <c r="M182" t="s">
        <v>14</v>
      </c>
      <c r="N182">
        <v>10</v>
      </c>
      <c r="O182">
        <v>-22.062899999999999</v>
      </c>
      <c r="P182">
        <v>169.733</v>
      </c>
      <c r="Q182" t="s">
        <v>171</v>
      </c>
      <c r="U182" t="str">
        <f t="shared" si="6"/>
        <v>N km direction of city</v>
      </c>
      <c r="V182" t="str">
        <f t="shared" si="7"/>
        <v>mww</v>
      </c>
      <c r="X182">
        <f t="shared" si="8"/>
        <v>2018</v>
      </c>
    </row>
    <row r="183" spans="1:24">
      <c r="A183" t="s">
        <v>382</v>
      </c>
      <c r="B183">
        <v>7.5</v>
      </c>
      <c r="C183" s="1">
        <v>43439.179166666669</v>
      </c>
      <c r="D183">
        <v>3</v>
      </c>
      <c r="E183">
        <v>6</v>
      </c>
      <c r="F183" t="s">
        <v>15</v>
      </c>
      <c r="G183">
        <v>1</v>
      </c>
      <c r="H183">
        <v>871</v>
      </c>
      <c r="I183" t="s">
        <v>46</v>
      </c>
      <c r="J183">
        <v>0</v>
      </c>
      <c r="K183">
        <v>2.4049999999999998</v>
      </c>
      <c r="L183">
        <v>18</v>
      </c>
      <c r="M183" t="s">
        <v>14</v>
      </c>
      <c r="N183">
        <v>10</v>
      </c>
      <c r="O183">
        <v>-21.9496</v>
      </c>
      <c r="P183">
        <v>169.42699999999999</v>
      </c>
      <c r="Q183" t="s">
        <v>171</v>
      </c>
      <c r="U183" t="str">
        <f t="shared" si="6"/>
        <v>N km direction of city</v>
      </c>
      <c r="V183" t="str">
        <f t="shared" si="7"/>
        <v>mww</v>
      </c>
      <c r="X183">
        <f t="shared" si="8"/>
        <v>2018</v>
      </c>
    </row>
    <row r="184" spans="1:24">
      <c r="A184" t="s">
        <v>383</v>
      </c>
      <c r="B184">
        <v>7.1</v>
      </c>
      <c r="C184" s="1">
        <v>43434.728472222218</v>
      </c>
      <c r="D184">
        <v>8</v>
      </c>
      <c r="E184">
        <v>8</v>
      </c>
      <c r="F184" t="s">
        <v>16</v>
      </c>
      <c r="G184">
        <v>1</v>
      </c>
      <c r="H184">
        <v>1790</v>
      </c>
      <c r="I184" t="s">
        <v>202</v>
      </c>
      <c r="J184">
        <v>0</v>
      </c>
      <c r="K184">
        <v>0</v>
      </c>
      <c r="L184">
        <v>0</v>
      </c>
      <c r="M184" t="s">
        <v>11</v>
      </c>
      <c r="N184">
        <v>46.7</v>
      </c>
      <c r="O184">
        <v>61.346400000000003</v>
      </c>
      <c r="P184">
        <v>-149.95500000000001</v>
      </c>
      <c r="Q184" t="s">
        <v>384</v>
      </c>
      <c r="R184" t="s">
        <v>139</v>
      </c>
      <c r="S184" t="s">
        <v>204</v>
      </c>
      <c r="U184" t="str">
        <f t="shared" si="6"/>
        <v>N km direction of city</v>
      </c>
      <c r="V184" t="str">
        <f t="shared" si="7"/>
        <v>mw</v>
      </c>
      <c r="X184">
        <f t="shared" si="8"/>
        <v>2018</v>
      </c>
    </row>
    <row r="185" spans="1:24">
      <c r="A185" t="s">
        <v>385</v>
      </c>
      <c r="B185">
        <v>6.8</v>
      </c>
      <c r="C185" s="1">
        <v>43422.850694444453</v>
      </c>
      <c r="D185">
        <v>0</v>
      </c>
      <c r="E185">
        <v>3</v>
      </c>
      <c r="F185" t="s">
        <v>15</v>
      </c>
      <c r="G185">
        <v>1</v>
      </c>
      <c r="H185">
        <v>711</v>
      </c>
      <c r="I185" t="s">
        <v>46</v>
      </c>
      <c r="J185">
        <v>0</v>
      </c>
      <c r="K185">
        <v>2.879</v>
      </c>
      <c r="L185">
        <v>39</v>
      </c>
      <c r="M185" t="s">
        <v>14</v>
      </c>
      <c r="N185">
        <v>540</v>
      </c>
      <c r="O185">
        <v>-17.8735</v>
      </c>
      <c r="P185">
        <v>-178.92699999999999</v>
      </c>
      <c r="Q185" t="s">
        <v>386</v>
      </c>
      <c r="S185" t="s">
        <v>128</v>
      </c>
      <c r="U185" t="str">
        <f t="shared" si="6"/>
        <v>N km direction of city</v>
      </c>
      <c r="V185" t="str">
        <f t="shared" si="7"/>
        <v>mww</v>
      </c>
      <c r="X185">
        <f t="shared" si="8"/>
        <v>2018</v>
      </c>
    </row>
    <row r="186" spans="1:24">
      <c r="A186" t="s">
        <v>387</v>
      </c>
      <c r="B186">
        <v>6.7</v>
      </c>
      <c r="C186" s="1">
        <v>43413.075694444437</v>
      </c>
      <c r="D186">
        <v>3</v>
      </c>
      <c r="E186">
        <v>4</v>
      </c>
      <c r="F186" t="s">
        <v>15</v>
      </c>
      <c r="G186">
        <v>1</v>
      </c>
      <c r="H186">
        <v>693</v>
      </c>
      <c r="I186" t="s">
        <v>46</v>
      </c>
      <c r="J186">
        <v>0</v>
      </c>
      <c r="K186">
        <v>7.8529999999999998</v>
      </c>
      <c r="L186">
        <v>19</v>
      </c>
      <c r="M186" t="s">
        <v>14</v>
      </c>
      <c r="N186">
        <v>10</v>
      </c>
      <c r="O186">
        <v>71.631200000000007</v>
      </c>
      <c r="P186">
        <v>-11.2431</v>
      </c>
      <c r="Q186" t="s">
        <v>388</v>
      </c>
      <c r="U186" t="str">
        <f t="shared" si="6"/>
        <v>N km direction of city</v>
      </c>
      <c r="V186" t="str">
        <f t="shared" si="7"/>
        <v>mww</v>
      </c>
      <c r="X186">
        <f t="shared" si="8"/>
        <v>2018</v>
      </c>
    </row>
    <row r="187" spans="1:24">
      <c r="A187" t="s">
        <v>389</v>
      </c>
      <c r="B187">
        <v>6.8</v>
      </c>
      <c r="C187" s="1">
        <v>43398.95416666667</v>
      </c>
      <c r="D187">
        <v>8</v>
      </c>
      <c r="E187">
        <v>7</v>
      </c>
      <c r="F187" t="s">
        <v>18</v>
      </c>
      <c r="G187">
        <v>0</v>
      </c>
      <c r="H187">
        <v>954</v>
      </c>
      <c r="I187" t="s">
        <v>46</v>
      </c>
      <c r="J187">
        <v>0</v>
      </c>
      <c r="K187">
        <v>2.2679999999999998</v>
      </c>
      <c r="L187">
        <v>15</v>
      </c>
      <c r="M187" t="s">
        <v>14</v>
      </c>
      <c r="N187">
        <v>14</v>
      </c>
      <c r="O187">
        <v>37.520299999999999</v>
      </c>
      <c r="P187">
        <v>20.5565</v>
      </c>
      <c r="Q187" t="s">
        <v>390</v>
      </c>
      <c r="R187" t="s">
        <v>267</v>
      </c>
      <c r="U187" t="str">
        <f t="shared" si="6"/>
        <v>N km direction of city</v>
      </c>
      <c r="V187" t="str">
        <f t="shared" si="7"/>
        <v>mww</v>
      </c>
      <c r="X187">
        <f t="shared" si="8"/>
        <v>2018</v>
      </c>
    </row>
    <row r="188" spans="1:24">
      <c r="A188" t="s">
        <v>391</v>
      </c>
      <c r="B188">
        <v>6.5</v>
      </c>
      <c r="C188" s="1">
        <v>43395.265277777777</v>
      </c>
      <c r="D188">
        <v>2</v>
      </c>
      <c r="E188">
        <v>4</v>
      </c>
      <c r="F188" t="s">
        <v>15</v>
      </c>
      <c r="G188">
        <v>0</v>
      </c>
      <c r="H188">
        <v>655</v>
      </c>
      <c r="I188" t="s">
        <v>46</v>
      </c>
      <c r="J188">
        <v>0</v>
      </c>
      <c r="K188">
        <v>1.6919999999999999</v>
      </c>
      <c r="L188">
        <v>68</v>
      </c>
      <c r="M188" t="s">
        <v>14</v>
      </c>
      <c r="N188">
        <v>10</v>
      </c>
      <c r="O188">
        <v>49.296999999999997</v>
      </c>
      <c r="P188">
        <v>-129.72399999999999</v>
      </c>
      <c r="Q188" t="s">
        <v>392</v>
      </c>
      <c r="U188" t="str">
        <f t="shared" si="6"/>
        <v>N km direction of city</v>
      </c>
      <c r="V188" t="str">
        <f t="shared" si="7"/>
        <v>mww</v>
      </c>
      <c r="X188">
        <f t="shared" si="8"/>
        <v>2018</v>
      </c>
    </row>
    <row r="189" spans="1:24">
      <c r="A189" t="s">
        <v>393</v>
      </c>
      <c r="B189">
        <v>6.8</v>
      </c>
      <c r="C189" s="1">
        <v>43395.261111111111</v>
      </c>
      <c r="D189">
        <v>4</v>
      </c>
      <c r="E189">
        <v>4</v>
      </c>
      <c r="F189" t="s">
        <v>15</v>
      </c>
      <c r="G189">
        <v>1</v>
      </c>
      <c r="H189">
        <v>776</v>
      </c>
      <c r="I189" t="s">
        <v>46</v>
      </c>
      <c r="J189">
        <v>0</v>
      </c>
      <c r="K189">
        <v>1.5049999999999999</v>
      </c>
      <c r="L189">
        <v>36</v>
      </c>
      <c r="M189" t="s">
        <v>14</v>
      </c>
      <c r="N189">
        <v>10</v>
      </c>
      <c r="O189">
        <v>49.334600000000002</v>
      </c>
      <c r="P189">
        <v>-129.28899999999999</v>
      </c>
      <c r="Q189" t="s">
        <v>392</v>
      </c>
      <c r="U189" t="str">
        <f t="shared" si="6"/>
        <v>N km direction of city</v>
      </c>
      <c r="V189" t="str">
        <f t="shared" si="7"/>
        <v>mww</v>
      </c>
      <c r="X189">
        <f t="shared" si="8"/>
        <v>2018</v>
      </c>
    </row>
    <row r="190" spans="1:24">
      <c r="A190" t="s">
        <v>394</v>
      </c>
      <c r="B190">
        <v>6.5</v>
      </c>
      <c r="C190" s="1">
        <v>43395.23541666667</v>
      </c>
      <c r="D190">
        <v>3</v>
      </c>
      <c r="E190">
        <v>4</v>
      </c>
      <c r="F190" t="s">
        <v>15</v>
      </c>
      <c r="G190">
        <v>1</v>
      </c>
      <c r="H190">
        <v>669</v>
      </c>
      <c r="I190" t="s">
        <v>46</v>
      </c>
      <c r="J190">
        <v>0</v>
      </c>
      <c r="K190">
        <v>1.611</v>
      </c>
      <c r="L190">
        <v>63</v>
      </c>
      <c r="M190" t="s">
        <v>14</v>
      </c>
      <c r="N190">
        <v>10</v>
      </c>
      <c r="O190">
        <v>49.258600000000001</v>
      </c>
      <c r="P190">
        <v>-129.41200000000001</v>
      </c>
      <c r="Q190" t="s">
        <v>392</v>
      </c>
      <c r="U190" t="str">
        <f t="shared" si="6"/>
        <v>N km direction of city</v>
      </c>
      <c r="V190" t="str">
        <f t="shared" si="7"/>
        <v>mww</v>
      </c>
      <c r="X190">
        <f t="shared" si="8"/>
        <v>2018</v>
      </c>
    </row>
    <row r="191" spans="1:24">
      <c r="A191" t="s">
        <v>395</v>
      </c>
      <c r="B191">
        <v>6.5</v>
      </c>
      <c r="C191" s="1">
        <v>43389.043749999997</v>
      </c>
      <c r="D191">
        <v>0</v>
      </c>
      <c r="E191">
        <v>4</v>
      </c>
      <c r="F191" t="s">
        <v>15</v>
      </c>
      <c r="G191">
        <v>1</v>
      </c>
      <c r="H191">
        <v>650</v>
      </c>
      <c r="I191" t="s">
        <v>46</v>
      </c>
      <c r="J191">
        <v>0</v>
      </c>
      <c r="K191">
        <v>2.109</v>
      </c>
      <c r="L191">
        <v>22</v>
      </c>
      <c r="M191" t="s">
        <v>14</v>
      </c>
      <c r="N191">
        <v>17</v>
      </c>
      <c r="O191">
        <v>-21.742699999999999</v>
      </c>
      <c r="P191">
        <v>169.52199999999999</v>
      </c>
      <c r="Q191" t="s">
        <v>171</v>
      </c>
      <c r="U191" t="str">
        <f t="shared" si="6"/>
        <v>N km direction of city</v>
      </c>
      <c r="V191" t="str">
        <f t="shared" si="7"/>
        <v>mww</v>
      </c>
      <c r="X191">
        <f t="shared" si="8"/>
        <v>2018</v>
      </c>
    </row>
    <row r="192" spans="1:24">
      <c r="A192" t="s">
        <v>396</v>
      </c>
      <c r="B192">
        <v>6.7</v>
      </c>
      <c r="C192" s="1">
        <v>43386.465277777781</v>
      </c>
      <c r="D192">
        <v>0</v>
      </c>
      <c r="E192">
        <v>3</v>
      </c>
      <c r="F192" t="s">
        <v>15</v>
      </c>
      <c r="G192">
        <v>1</v>
      </c>
      <c r="H192">
        <v>691</v>
      </c>
      <c r="I192" t="s">
        <v>46</v>
      </c>
      <c r="J192">
        <v>0</v>
      </c>
      <c r="K192">
        <v>2.7050000000000001</v>
      </c>
      <c r="L192">
        <v>17</v>
      </c>
      <c r="M192" t="s">
        <v>14</v>
      </c>
      <c r="N192">
        <v>461</v>
      </c>
      <c r="O192">
        <v>52.854900000000001</v>
      </c>
      <c r="P192">
        <v>153.24299999999999</v>
      </c>
      <c r="Q192" t="s">
        <v>397</v>
      </c>
      <c r="U192" t="str">
        <f t="shared" si="6"/>
        <v>N km direction of city</v>
      </c>
      <c r="V192" t="str">
        <f t="shared" si="7"/>
        <v>mww</v>
      </c>
      <c r="X192">
        <f t="shared" si="8"/>
        <v>2018</v>
      </c>
    </row>
    <row r="193" spans="1:24">
      <c r="A193" t="s">
        <v>398</v>
      </c>
      <c r="B193">
        <v>6.5</v>
      </c>
      <c r="C193" s="1">
        <v>43383.969444444447</v>
      </c>
      <c r="D193">
        <v>0</v>
      </c>
      <c r="E193">
        <v>4</v>
      </c>
      <c r="F193" t="s">
        <v>15</v>
      </c>
      <c r="G193">
        <v>1</v>
      </c>
      <c r="H193">
        <v>650</v>
      </c>
      <c r="I193" t="s">
        <v>46</v>
      </c>
      <c r="J193">
        <v>0</v>
      </c>
      <c r="K193">
        <v>3.923</v>
      </c>
      <c r="L193">
        <v>14</v>
      </c>
      <c r="M193" t="s">
        <v>14</v>
      </c>
      <c r="N193">
        <v>20</v>
      </c>
      <c r="O193">
        <v>49.290199999999999</v>
      </c>
      <c r="P193">
        <v>156.297</v>
      </c>
      <c r="Q193" t="s">
        <v>307</v>
      </c>
      <c r="U193" t="str">
        <f t="shared" si="6"/>
        <v>N km direction of city</v>
      </c>
      <c r="V193" t="str">
        <f t="shared" si="7"/>
        <v>mww</v>
      </c>
      <c r="X193">
        <f t="shared" si="8"/>
        <v>2018</v>
      </c>
    </row>
    <row r="194" spans="1:24">
      <c r="A194" t="s">
        <v>399</v>
      </c>
      <c r="B194">
        <v>7</v>
      </c>
      <c r="C194" s="1">
        <v>43383.866666666669</v>
      </c>
      <c r="D194">
        <v>6</v>
      </c>
      <c r="E194">
        <v>6</v>
      </c>
      <c r="F194" t="s">
        <v>15</v>
      </c>
      <c r="G194">
        <v>1</v>
      </c>
      <c r="H194">
        <v>758</v>
      </c>
      <c r="I194" t="s">
        <v>46</v>
      </c>
      <c r="J194">
        <v>0</v>
      </c>
      <c r="K194">
        <v>1.778</v>
      </c>
      <c r="L194">
        <v>18</v>
      </c>
      <c r="M194" t="s">
        <v>14</v>
      </c>
      <c r="N194">
        <v>39</v>
      </c>
      <c r="O194">
        <v>-5.7012</v>
      </c>
      <c r="P194">
        <v>151.20500000000001</v>
      </c>
      <c r="Q194" t="s">
        <v>103</v>
      </c>
      <c r="S194" t="s">
        <v>89</v>
      </c>
      <c r="U194" t="str">
        <f t="shared" ref="U194:U257" si="9">IF(ISNUMBER(SEARCH("km",A194)),"N km direction of city","Named-region")</f>
        <v>N km direction of city</v>
      </c>
      <c r="V194" t="str">
        <f t="shared" ref="V194:V257" si="10">LOWER(M194)</f>
        <v>mww</v>
      </c>
      <c r="X194">
        <f t="shared" ref="X194:X257" si="11">YEAR(C194)</f>
        <v>2018</v>
      </c>
    </row>
    <row r="195" spans="1:24">
      <c r="A195" t="s">
        <v>400</v>
      </c>
      <c r="B195">
        <v>6.7</v>
      </c>
      <c r="C195" s="1">
        <v>43373.452777777777</v>
      </c>
      <c r="D195">
        <v>2</v>
      </c>
      <c r="E195">
        <v>3</v>
      </c>
      <c r="F195" t="s">
        <v>15</v>
      </c>
      <c r="G195">
        <v>1</v>
      </c>
      <c r="H195">
        <v>691</v>
      </c>
      <c r="I195" t="s">
        <v>46</v>
      </c>
      <c r="J195">
        <v>0</v>
      </c>
      <c r="K195">
        <v>3.7450000000000001</v>
      </c>
      <c r="L195">
        <v>23</v>
      </c>
      <c r="M195" t="s">
        <v>14</v>
      </c>
      <c r="N195">
        <v>550</v>
      </c>
      <c r="O195">
        <v>-18.360399999999998</v>
      </c>
      <c r="P195">
        <v>-178.06299999999999</v>
      </c>
      <c r="Q195" t="s">
        <v>386</v>
      </c>
      <c r="S195" t="s">
        <v>128</v>
      </c>
      <c r="U195" t="str">
        <f t="shared" si="9"/>
        <v>N km direction of city</v>
      </c>
      <c r="V195" t="str">
        <f t="shared" si="10"/>
        <v>mww</v>
      </c>
      <c r="X195">
        <f t="shared" si="11"/>
        <v>2018</v>
      </c>
    </row>
    <row r="196" spans="1:24">
      <c r="A196" t="s">
        <v>401</v>
      </c>
      <c r="B196">
        <v>7.5</v>
      </c>
      <c r="C196" s="1">
        <v>43371.418055555558</v>
      </c>
      <c r="D196">
        <v>8</v>
      </c>
      <c r="E196">
        <v>8</v>
      </c>
      <c r="F196" t="s">
        <v>17</v>
      </c>
      <c r="G196">
        <v>0</v>
      </c>
      <c r="H196">
        <v>2026</v>
      </c>
      <c r="I196" t="s">
        <v>46</v>
      </c>
      <c r="J196">
        <v>0</v>
      </c>
      <c r="K196">
        <v>1.649</v>
      </c>
      <c r="L196">
        <v>13</v>
      </c>
      <c r="M196" t="s">
        <v>14</v>
      </c>
      <c r="N196">
        <v>20</v>
      </c>
      <c r="O196">
        <v>-0.25590000000000002</v>
      </c>
      <c r="P196">
        <v>119.846</v>
      </c>
      <c r="Q196" t="s">
        <v>402</v>
      </c>
      <c r="S196" t="s">
        <v>77</v>
      </c>
      <c r="U196" t="str">
        <f t="shared" si="9"/>
        <v>N km direction of city</v>
      </c>
      <c r="V196" t="str">
        <f t="shared" si="10"/>
        <v>mww</v>
      </c>
      <c r="X196">
        <f t="shared" si="11"/>
        <v>2018</v>
      </c>
    </row>
    <row r="197" spans="1:24">
      <c r="A197" t="s">
        <v>403</v>
      </c>
      <c r="B197">
        <v>6.5</v>
      </c>
      <c r="C197" s="1">
        <v>43359.882638888892</v>
      </c>
      <c r="D197">
        <v>4</v>
      </c>
      <c r="E197">
        <v>1</v>
      </c>
      <c r="F197" t="s">
        <v>15</v>
      </c>
      <c r="G197">
        <v>0</v>
      </c>
      <c r="H197">
        <v>651</v>
      </c>
      <c r="I197" t="s">
        <v>46</v>
      </c>
      <c r="J197">
        <v>0</v>
      </c>
      <c r="K197">
        <v>5.1390000000000002</v>
      </c>
      <c r="L197">
        <v>18</v>
      </c>
      <c r="M197" t="s">
        <v>14</v>
      </c>
      <c r="N197">
        <v>576</v>
      </c>
      <c r="O197">
        <v>-25.414999999999999</v>
      </c>
      <c r="P197">
        <v>178.19900000000001</v>
      </c>
      <c r="Q197" t="s">
        <v>65</v>
      </c>
      <c r="U197" t="str">
        <f t="shared" si="9"/>
        <v>Named-region</v>
      </c>
      <c r="V197" t="str">
        <f t="shared" si="10"/>
        <v>mww</v>
      </c>
      <c r="X197">
        <f t="shared" si="11"/>
        <v>2018</v>
      </c>
    </row>
    <row r="198" spans="1:24">
      <c r="A198" t="s">
        <v>404</v>
      </c>
      <c r="B198">
        <v>6.9</v>
      </c>
      <c r="C198" s="1">
        <v>43353.179861111108</v>
      </c>
      <c r="D198">
        <v>3</v>
      </c>
      <c r="E198">
        <v>4</v>
      </c>
      <c r="F198" t="s">
        <v>15</v>
      </c>
      <c r="G198">
        <v>0</v>
      </c>
      <c r="H198">
        <v>735</v>
      </c>
      <c r="I198" t="s">
        <v>46</v>
      </c>
      <c r="J198">
        <v>0</v>
      </c>
      <c r="K198">
        <v>2.7850000000000001</v>
      </c>
      <c r="L198">
        <v>18</v>
      </c>
      <c r="M198" t="s">
        <v>14</v>
      </c>
      <c r="N198">
        <v>115</v>
      </c>
      <c r="O198">
        <v>-31.744700000000002</v>
      </c>
      <c r="P198">
        <v>-179.37299999999999</v>
      </c>
      <c r="Q198" t="s">
        <v>98</v>
      </c>
      <c r="U198" t="str">
        <f t="shared" si="9"/>
        <v>Named-region</v>
      </c>
      <c r="V198" t="str">
        <f t="shared" si="10"/>
        <v>mww</v>
      </c>
      <c r="X198">
        <f t="shared" si="11"/>
        <v>2018</v>
      </c>
    </row>
    <row r="199" spans="1:24">
      <c r="A199" t="s">
        <v>405</v>
      </c>
      <c r="B199">
        <v>6.5</v>
      </c>
      <c r="C199" s="1">
        <v>43352.813194444447</v>
      </c>
      <c r="D199">
        <v>3</v>
      </c>
      <c r="E199">
        <v>6</v>
      </c>
      <c r="F199" t="s">
        <v>15</v>
      </c>
      <c r="G199">
        <v>1</v>
      </c>
      <c r="H199">
        <v>651</v>
      </c>
      <c r="I199" t="s">
        <v>46</v>
      </c>
      <c r="J199">
        <v>0</v>
      </c>
      <c r="K199">
        <v>1.6379999999999999</v>
      </c>
      <c r="L199">
        <v>25</v>
      </c>
      <c r="M199" t="s">
        <v>14</v>
      </c>
      <c r="N199">
        <v>68</v>
      </c>
      <c r="O199">
        <v>-10.0207</v>
      </c>
      <c r="P199">
        <v>161.50299999999999</v>
      </c>
      <c r="Q199" t="s">
        <v>406</v>
      </c>
      <c r="S199" t="s">
        <v>124</v>
      </c>
      <c r="U199" t="str">
        <f t="shared" si="9"/>
        <v>N km direction of city</v>
      </c>
      <c r="V199" t="str">
        <f t="shared" si="10"/>
        <v>mww</v>
      </c>
      <c r="X199">
        <f t="shared" si="11"/>
        <v>2018</v>
      </c>
    </row>
    <row r="200" spans="1:24">
      <c r="A200" t="s">
        <v>407</v>
      </c>
      <c r="B200">
        <v>7.9</v>
      </c>
      <c r="C200" s="1">
        <v>43349.65902777778</v>
      </c>
      <c r="D200">
        <v>7</v>
      </c>
      <c r="E200">
        <v>4</v>
      </c>
      <c r="F200" t="s">
        <v>15</v>
      </c>
      <c r="G200">
        <v>1</v>
      </c>
      <c r="H200">
        <v>979</v>
      </c>
      <c r="I200" t="s">
        <v>46</v>
      </c>
      <c r="J200">
        <v>0</v>
      </c>
      <c r="K200">
        <v>1.431</v>
      </c>
      <c r="L200">
        <v>12</v>
      </c>
      <c r="M200" t="s">
        <v>14</v>
      </c>
      <c r="N200">
        <v>670.81</v>
      </c>
      <c r="O200">
        <v>-18.474299999999999</v>
      </c>
      <c r="P200">
        <v>179.35</v>
      </c>
      <c r="Q200" t="s">
        <v>386</v>
      </c>
      <c r="S200" t="s">
        <v>128</v>
      </c>
      <c r="U200" t="str">
        <f t="shared" si="9"/>
        <v>N km direction of city</v>
      </c>
      <c r="V200" t="str">
        <f t="shared" si="10"/>
        <v>mww</v>
      </c>
      <c r="X200">
        <f t="shared" si="11"/>
        <v>2018</v>
      </c>
    </row>
    <row r="201" spans="1:24">
      <c r="A201" t="s">
        <v>408</v>
      </c>
      <c r="B201">
        <v>6.6</v>
      </c>
      <c r="C201" s="1">
        <v>43348.754861111112</v>
      </c>
      <c r="D201">
        <v>8</v>
      </c>
      <c r="E201">
        <v>9</v>
      </c>
      <c r="F201" t="s">
        <v>16</v>
      </c>
      <c r="G201">
        <v>1</v>
      </c>
      <c r="H201">
        <v>1075</v>
      </c>
      <c r="I201" t="s">
        <v>46</v>
      </c>
      <c r="J201">
        <v>0</v>
      </c>
      <c r="K201">
        <v>1.1299999999999999</v>
      </c>
      <c r="L201">
        <v>32</v>
      </c>
      <c r="M201" t="s">
        <v>14</v>
      </c>
      <c r="N201">
        <v>35</v>
      </c>
      <c r="O201">
        <v>42.686100000000003</v>
      </c>
      <c r="P201">
        <v>141.929</v>
      </c>
      <c r="Q201" t="s">
        <v>409</v>
      </c>
      <c r="R201" t="s">
        <v>85</v>
      </c>
      <c r="S201" t="s">
        <v>243</v>
      </c>
      <c r="U201" t="str">
        <f t="shared" si="9"/>
        <v>N km direction of city</v>
      </c>
      <c r="V201" t="str">
        <f t="shared" si="10"/>
        <v>mww</v>
      </c>
      <c r="X201">
        <f t="shared" si="11"/>
        <v>2018</v>
      </c>
    </row>
    <row r="202" spans="1:24">
      <c r="A202" t="s">
        <v>410</v>
      </c>
      <c r="B202">
        <v>7.1</v>
      </c>
      <c r="C202" s="1">
        <v>43341.160416666673</v>
      </c>
      <c r="D202">
        <v>2</v>
      </c>
      <c r="E202">
        <v>5</v>
      </c>
      <c r="F202" t="s">
        <v>15</v>
      </c>
      <c r="G202">
        <v>1</v>
      </c>
      <c r="H202">
        <v>776</v>
      </c>
      <c r="I202" t="s">
        <v>46</v>
      </c>
      <c r="J202">
        <v>0</v>
      </c>
      <c r="K202">
        <v>2.548</v>
      </c>
      <c r="L202">
        <v>23</v>
      </c>
      <c r="M202" t="s">
        <v>14</v>
      </c>
      <c r="N202">
        <v>21.43</v>
      </c>
      <c r="O202">
        <v>-22.029499999999999</v>
      </c>
      <c r="P202">
        <v>170.126</v>
      </c>
      <c r="Q202" t="s">
        <v>171</v>
      </c>
      <c r="U202" t="str">
        <f t="shared" si="9"/>
        <v>N km direction of city</v>
      </c>
      <c r="V202" t="str">
        <f t="shared" si="10"/>
        <v>mww</v>
      </c>
      <c r="X202">
        <f t="shared" si="11"/>
        <v>2018</v>
      </c>
    </row>
    <row r="203" spans="1:24">
      <c r="A203" t="s">
        <v>411</v>
      </c>
      <c r="B203">
        <v>7.1</v>
      </c>
      <c r="C203" s="1">
        <v>43336.37777777778</v>
      </c>
      <c r="D203">
        <v>0</v>
      </c>
      <c r="E203">
        <v>3</v>
      </c>
      <c r="F203" t="s">
        <v>15</v>
      </c>
      <c r="G203">
        <v>0</v>
      </c>
      <c r="H203">
        <v>776</v>
      </c>
      <c r="I203" t="s">
        <v>46</v>
      </c>
      <c r="J203">
        <v>0</v>
      </c>
      <c r="K203">
        <v>3.77</v>
      </c>
      <c r="L203">
        <v>12</v>
      </c>
      <c r="M203" t="s">
        <v>14</v>
      </c>
      <c r="N203">
        <v>630</v>
      </c>
      <c r="O203">
        <v>-11.035500000000001</v>
      </c>
      <c r="P203">
        <v>-70.828400000000002</v>
      </c>
      <c r="Q203" t="s">
        <v>412</v>
      </c>
      <c r="R203" t="s">
        <v>53</v>
      </c>
      <c r="S203" t="s">
        <v>164</v>
      </c>
      <c r="U203" t="str">
        <f t="shared" si="9"/>
        <v>N km direction of city</v>
      </c>
      <c r="V203" t="str">
        <f t="shared" si="10"/>
        <v>mww</v>
      </c>
      <c r="X203">
        <f t="shared" si="11"/>
        <v>2018</v>
      </c>
    </row>
    <row r="204" spans="1:24">
      <c r="A204" t="s">
        <v>413</v>
      </c>
      <c r="B204">
        <v>6.5</v>
      </c>
      <c r="C204" s="1">
        <v>43333.938888888893</v>
      </c>
      <c r="D204">
        <v>6</v>
      </c>
      <c r="E204">
        <v>7</v>
      </c>
      <c r="F204" t="s">
        <v>15</v>
      </c>
      <c r="G204">
        <v>1</v>
      </c>
      <c r="H204">
        <v>652</v>
      </c>
      <c r="I204" t="s">
        <v>46</v>
      </c>
      <c r="J204">
        <v>0</v>
      </c>
      <c r="K204">
        <v>4.7969999999999997</v>
      </c>
      <c r="L204">
        <v>10</v>
      </c>
      <c r="M204" t="s">
        <v>14</v>
      </c>
      <c r="N204">
        <v>9</v>
      </c>
      <c r="O204">
        <v>-16.031500000000001</v>
      </c>
      <c r="P204">
        <v>168.143</v>
      </c>
      <c r="Q204" t="s">
        <v>339</v>
      </c>
      <c r="S204" t="s">
        <v>48</v>
      </c>
      <c r="U204" t="str">
        <f t="shared" si="9"/>
        <v>N km direction of city</v>
      </c>
      <c r="V204" t="str">
        <f t="shared" si="10"/>
        <v>mww</v>
      </c>
      <c r="X204">
        <f t="shared" si="11"/>
        <v>2018</v>
      </c>
    </row>
    <row r="205" spans="1:24">
      <c r="A205" t="s">
        <v>414</v>
      </c>
      <c r="B205">
        <v>7.3</v>
      </c>
      <c r="C205" s="1">
        <v>43333.896527777782</v>
      </c>
      <c r="D205">
        <v>8</v>
      </c>
      <c r="E205">
        <v>6</v>
      </c>
      <c r="F205" t="s">
        <v>18</v>
      </c>
      <c r="G205">
        <v>1</v>
      </c>
      <c r="H205">
        <v>1570</v>
      </c>
      <c r="I205" t="s">
        <v>46</v>
      </c>
      <c r="J205">
        <v>0</v>
      </c>
      <c r="K205">
        <v>1.8220000000000001</v>
      </c>
      <c r="L205">
        <v>15</v>
      </c>
      <c r="M205" t="s">
        <v>14</v>
      </c>
      <c r="N205">
        <v>146.82</v>
      </c>
      <c r="O205">
        <v>10.773099999999999</v>
      </c>
      <c r="P205">
        <v>-62.901899999999998</v>
      </c>
      <c r="Q205" t="s">
        <v>415</v>
      </c>
      <c r="S205" t="s">
        <v>416</v>
      </c>
      <c r="U205" t="str">
        <f t="shared" si="9"/>
        <v>N km direction of city</v>
      </c>
      <c r="V205" t="str">
        <f t="shared" si="10"/>
        <v>mww</v>
      </c>
      <c r="X205">
        <f t="shared" si="11"/>
        <v>2018</v>
      </c>
    </row>
    <row r="206" spans="1:24">
      <c r="A206" t="s">
        <v>417</v>
      </c>
      <c r="B206">
        <v>6.9</v>
      </c>
      <c r="C206" s="1">
        <v>43331.62222222222</v>
      </c>
      <c r="D206">
        <v>7</v>
      </c>
      <c r="E206">
        <v>7</v>
      </c>
      <c r="F206" t="s">
        <v>15</v>
      </c>
      <c r="G206">
        <v>0</v>
      </c>
      <c r="H206">
        <v>1206</v>
      </c>
      <c r="I206" t="s">
        <v>46</v>
      </c>
      <c r="J206">
        <v>0</v>
      </c>
      <c r="K206">
        <v>2.4529999999999998</v>
      </c>
      <c r="L206">
        <v>31</v>
      </c>
      <c r="M206" t="s">
        <v>14</v>
      </c>
      <c r="N206">
        <v>21</v>
      </c>
      <c r="O206">
        <v>-8.3190000000000008</v>
      </c>
      <c r="P206">
        <v>116.627</v>
      </c>
      <c r="Q206" t="s">
        <v>418</v>
      </c>
      <c r="S206" t="s">
        <v>77</v>
      </c>
      <c r="U206" t="str">
        <f t="shared" si="9"/>
        <v>N km direction of city</v>
      </c>
      <c r="V206" t="str">
        <f t="shared" si="10"/>
        <v>mww</v>
      </c>
      <c r="X206">
        <f t="shared" si="11"/>
        <v>2018</v>
      </c>
    </row>
    <row r="207" spans="1:24">
      <c r="A207" t="s">
        <v>419</v>
      </c>
      <c r="B207">
        <v>8.1999999999999993</v>
      </c>
      <c r="C207" s="1">
        <v>43331.013194444437</v>
      </c>
      <c r="D207">
        <v>5</v>
      </c>
      <c r="E207">
        <v>4</v>
      </c>
      <c r="F207" t="s">
        <v>15</v>
      </c>
      <c r="G207">
        <v>1</v>
      </c>
      <c r="H207">
        <v>1050</v>
      </c>
      <c r="I207" t="s">
        <v>46</v>
      </c>
      <c r="J207">
        <v>0</v>
      </c>
      <c r="K207">
        <v>3.63</v>
      </c>
      <c r="L207">
        <v>13</v>
      </c>
      <c r="M207" t="s">
        <v>14</v>
      </c>
      <c r="N207">
        <v>600</v>
      </c>
      <c r="O207">
        <v>-18.112500000000001</v>
      </c>
      <c r="P207">
        <v>-178.15299999999999</v>
      </c>
      <c r="Q207" t="s">
        <v>386</v>
      </c>
      <c r="S207" t="s">
        <v>128</v>
      </c>
      <c r="U207" t="str">
        <f t="shared" si="9"/>
        <v>N km direction of city</v>
      </c>
      <c r="V207" t="str">
        <f t="shared" si="10"/>
        <v>mww</v>
      </c>
      <c r="X207">
        <f t="shared" si="11"/>
        <v>2018</v>
      </c>
    </row>
    <row r="208" spans="1:24">
      <c r="A208" t="s">
        <v>420</v>
      </c>
      <c r="B208">
        <v>6.5</v>
      </c>
      <c r="C208" s="1">
        <v>43329.649305555547</v>
      </c>
      <c r="D208">
        <v>5</v>
      </c>
      <c r="E208">
        <v>3</v>
      </c>
      <c r="F208" t="s">
        <v>15</v>
      </c>
      <c r="G208">
        <v>0</v>
      </c>
      <c r="H208">
        <v>743</v>
      </c>
      <c r="I208" t="s">
        <v>46</v>
      </c>
      <c r="J208">
        <v>0</v>
      </c>
      <c r="K208">
        <v>2.7189999999999999</v>
      </c>
      <c r="L208">
        <v>23</v>
      </c>
      <c r="M208" t="s">
        <v>14</v>
      </c>
      <c r="N208">
        <v>529</v>
      </c>
      <c r="O208">
        <v>-7.3718000000000004</v>
      </c>
      <c r="P208">
        <v>119.80200000000001</v>
      </c>
      <c r="Q208" t="s">
        <v>421</v>
      </c>
      <c r="S208" t="s">
        <v>77</v>
      </c>
      <c r="U208" t="str">
        <f t="shared" si="9"/>
        <v>N km direction of city</v>
      </c>
      <c r="V208" t="str">
        <f t="shared" si="10"/>
        <v>mww</v>
      </c>
      <c r="X208">
        <f t="shared" si="11"/>
        <v>2018</v>
      </c>
    </row>
    <row r="209" spans="1:24">
      <c r="A209" t="s">
        <v>422</v>
      </c>
      <c r="B209">
        <v>6.5</v>
      </c>
      <c r="C209" s="1">
        <v>43327.913888888892</v>
      </c>
      <c r="D209">
        <v>6</v>
      </c>
      <c r="E209">
        <v>6</v>
      </c>
      <c r="F209" t="s">
        <v>15</v>
      </c>
      <c r="G209">
        <v>1</v>
      </c>
      <c r="H209">
        <v>655</v>
      </c>
      <c r="I209" t="s">
        <v>46</v>
      </c>
      <c r="J209">
        <v>0</v>
      </c>
      <c r="K209">
        <v>0.57599999999999996</v>
      </c>
      <c r="L209">
        <v>22</v>
      </c>
      <c r="M209" t="s">
        <v>14</v>
      </c>
      <c r="N209">
        <v>33.93</v>
      </c>
      <c r="O209">
        <v>51.423400000000001</v>
      </c>
      <c r="P209">
        <v>-178.02600000000001</v>
      </c>
      <c r="Q209" t="s">
        <v>423</v>
      </c>
      <c r="R209" t="s">
        <v>139</v>
      </c>
      <c r="S209" t="s">
        <v>204</v>
      </c>
      <c r="U209" t="str">
        <f t="shared" si="9"/>
        <v>N km direction of city</v>
      </c>
      <c r="V209" t="str">
        <f t="shared" si="10"/>
        <v>mww</v>
      </c>
      <c r="X209">
        <f t="shared" si="11"/>
        <v>2018</v>
      </c>
    </row>
    <row r="210" spans="1:24">
      <c r="A210" t="s">
        <v>424</v>
      </c>
      <c r="B210">
        <v>6.9</v>
      </c>
      <c r="C210" s="1">
        <v>43317.490277777782</v>
      </c>
      <c r="D210">
        <v>9</v>
      </c>
      <c r="E210">
        <v>8</v>
      </c>
      <c r="F210" t="s">
        <v>16</v>
      </c>
      <c r="G210">
        <v>0</v>
      </c>
      <c r="H210">
        <v>1704</v>
      </c>
      <c r="I210" t="s">
        <v>46</v>
      </c>
      <c r="J210">
        <v>0</v>
      </c>
      <c r="K210">
        <v>2.2709999999999999</v>
      </c>
      <c r="L210">
        <v>15</v>
      </c>
      <c r="M210" t="s">
        <v>14</v>
      </c>
      <c r="N210">
        <v>34</v>
      </c>
      <c r="O210">
        <v>-8.2581000000000007</v>
      </c>
      <c r="P210">
        <v>116.438</v>
      </c>
      <c r="Q210" t="s">
        <v>418</v>
      </c>
      <c r="S210" t="s">
        <v>77</v>
      </c>
      <c r="U210" t="str">
        <f t="shared" si="9"/>
        <v>N km direction of city</v>
      </c>
      <c r="V210" t="str">
        <f t="shared" si="10"/>
        <v>mww</v>
      </c>
      <c r="X210">
        <f t="shared" si="11"/>
        <v>2018</v>
      </c>
    </row>
    <row r="211" spans="1:24">
      <c r="A211" t="s">
        <v>425</v>
      </c>
      <c r="B211">
        <v>6.9</v>
      </c>
      <c r="C211" s="1">
        <v>43224.938888888893</v>
      </c>
      <c r="D211">
        <v>7</v>
      </c>
      <c r="E211">
        <v>8</v>
      </c>
      <c r="F211" t="s">
        <v>18</v>
      </c>
      <c r="G211">
        <v>1</v>
      </c>
      <c r="H211">
        <v>1392</v>
      </c>
      <c r="I211" t="s">
        <v>426</v>
      </c>
      <c r="J211">
        <v>63</v>
      </c>
      <c r="K211">
        <v>0.11</v>
      </c>
      <c r="L211">
        <v>210</v>
      </c>
      <c r="M211" t="s">
        <v>11</v>
      </c>
      <c r="N211">
        <v>5.81</v>
      </c>
      <c r="O211">
        <v>19.318200000000001</v>
      </c>
      <c r="P211">
        <v>-155</v>
      </c>
      <c r="Q211" t="s">
        <v>427</v>
      </c>
      <c r="S211" t="s">
        <v>204</v>
      </c>
      <c r="U211" t="str">
        <f t="shared" si="9"/>
        <v>N km direction of city</v>
      </c>
      <c r="V211" t="str">
        <f t="shared" si="10"/>
        <v>mw</v>
      </c>
      <c r="X211">
        <f t="shared" si="11"/>
        <v>2018</v>
      </c>
    </row>
    <row r="212" spans="1:24">
      <c r="A212" t="s">
        <v>428</v>
      </c>
      <c r="B212">
        <v>6.8</v>
      </c>
      <c r="C212" s="1">
        <v>43192.569444444453</v>
      </c>
      <c r="D212">
        <v>5</v>
      </c>
      <c r="E212">
        <v>3</v>
      </c>
      <c r="F212" t="s">
        <v>15</v>
      </c>
      <c r="G212">
        <v>0</v>
      </c>
      <c r="H212">
        <v>733</v>
      </c>
      <c r="I212" t="s">
        <v>46</v>
      </c>
      <c r="J212">
        <v>0</v>
      </c>
      <c r="K212">
        <v>5.32</v>
      </c>
      <c r="L212">
        <v>16</v>
      </c>
      <c r="M212" t="s">
        <v>14</v>
      </c>
      <c r="N212">
        <v>559</v>
      </c>
      <c r="O212">
        <v>-20.658799999999999</v>
      </c>
      <c r="P212">
        <v>-63.005800000000001</v>
      </c>
      <c r="Q212" t="s">
        <v>429</v>
      </c>
      <c r="R212" t="s">
        <v>53</v>
      </c>
      <c r="S212" t="s">
        <v>430</v>
      </c>
      <c r="U212" t="str">
        <f t="shared" si="9"/>
        <v>N km direction of city</v>
      </c>
      <c r="V212" t="str">
        <f t="shared" si="10"/>
        <v>mww</v>
      </c>
      <c r="X212">
        <f t="shared" si="11"/>
        <v>2018</v>
      </c>
    </row>
    <row r="213" spans="1:24">
      <c r="A213" t="s">
        <v>431</v>
      </c>
      <c r="B213">
        <v>6.9</v>
      </c>
      <c r="C213" s="1">
        <v>43188.892361111109</v>
      </c>
      <c r="D213">
        <v>9</v>
      </c>
      <c r="E213">
        <v>6</v>
      </c>
      <c r="F213" t="s">
        <v>15</v>
      </c>
      <c r="G213">
        <v>1</v>
      </c>
      <c r="H213">
        <v>741</v>
      </c>
      <c r="I213" t="s">
        <v>46</v>
      </c>
      <c r="J213">
        <v>0</v>
      </c>
      <c r="K213">
        <v>1.4870000000000001</v>
      </c>
      <c r="L213">
        <v>18</v>
      </c>
      <c r="M213" t="s">
        <v>14</v>
      </c>
      <c r="N213">
        <v>35</v>
      </c>
      <c r="O213">
        <v>-5.5320999999999998</v>
      </c>
      <c r="P213">
        <v>151.5</v>
      </c>
      <c r="Q213" t="s">
        <v>103</v>
      </c>
      <c r="S213" t="s">
        <v>89</v>
      </c>
      <c r="U213" t="str">
        <f t="shared" si="9"/>
        <v>N km direction of city</v>
      </c>
      <c r="V213" t="str">
        <f t="shared" si="10"/>
        <v>mww</v>
      </c>
      <c r="X213">
        <f t="shared" si="11"/>
        <v>2018</v>
      </c>
    </row>
    <row r="214" spans="1:24">
      <c r="A214" t="s">
        <v>432</v>
      </c>
      <c r="B214">
        <v>6.7</v>
      </c>
      <c r="C214" s="1">
        <v>43185.410416666673</v>
      </c>
      <c r="D214">
        <v>5</v>
      </c>
      <c r="E214">
        <v>6</v>
      </c>
      <c r="F214" t="s">
        <v>15</v>
      </c>
      <c r="G214">
        <v>1</v>
      </c>
      <c r="H214">
        <v>696</v>
      </c>
      <c r="I214" t="s">
        <v>46</v>
      </c>
      <c r="J214">
        <v>0</v>
      </c>
      <c r="K214">
        <v>1.5069999999999999</v>
      </c>
      <c r="L214">
        <v>15</v>
      </c>
      <c r="M214" t="s">
        <v>14</v>
      </c>
      <c r="N214">
        <v>40</v>
      </c>
      <c r="O214">
        <v>-5.5023999999999997</v>
      </c>
      <c r="P214">
        <v>151.40199999999999</v>
      </c>
      <c r="Q214" t="s">
        <v>103</v>
      </c>
      <c r="S214" t="s">
        <v>89</v>
      </c>
      <c r="U214" t="str">
        <f t="shared" si="9"/>
        <v>N km direction of city</v>
      </c>
      <c r="V214" t="str">
        <f t="shared" si="10"/>
        <v>mww</v>
      </c>
      <c r="X214">
        <f t="shared" si="11"/>
        <v>2018</v>
      </c>
    </row>
    <row r="215" spans="1:24">
      <c r="A215" t="s">
        <v>433</v>
      </c>
      <c r="B215">
        <v>6.8</v>
      </c>
      <c r="C215" s="1">
        <v>43167.73541666667</v>
      </c>
      <c r="D215">
        <v>6</v>
      </c>
      <c r="E215">
        <v>6</v>
      </c>
      <c r="F215" t="s">
        <v>15</v>
      </c>
      <c r="G215">
        <v>1</v>
      </c>
      <c r="H215">
        <v>719</v>
      </c>
      <c r="I215" t="s">
        <v>46</v>
      </c>
      <c r="J215">
        <v>0</v>
      </c>
      <c r="K215">
        <v>1.0489999999999999</v>
      </c>
      <c r="L215">
        <v>16</v>
      </c>
      <c r="M215" t="s">
        <v>14</v>
      </c>
      <c r="N215">
        <v>22.86</v>
      </c>
      <c r="O215">
        <v>-4.3761999999999999</v>
      </c>
      <c r="P215">
        <v>153.19999999999999</v>
      </c>
      <c r="Q215" t="s">
        <v>434</v>
      </c>
      <c r="S215" t="s">
        <v>89</v>
      </c>
      <c r="U215" t="str">
        <f t="shared" si="9"/>
        <v>N km direction of city</v>
      </c>
      <c r="V215" t="str">
        <f t="shared" si="10"/>
        <v>mww</v>
      </c>
      <c r="X215">
        <f t="shared" si="11"/>
        <v>2018</v>
      </c>
    </row>
    <row r="216" spans="1:24">
      <c r="A216" t="s">
        <v>435</v>
      </c>
      <c r="B216">
        <v>6.7</v>
      </c>
      <c r="C216" s="1">
        <v>43165.592361111107</v>
      </c>
      <c r="D216">
        <v>8</v>
      </c>
      <c r="E216">
        <v>7</v>
      </c>
      <c r="F216" t="s">
        <v>15</v>
      </c>
      <c r="G216">
        <v>1</v>
      </c>
      <c r="H216">
        <v>697</v>
      </c>
      <c r="I216" t="s">
        <v>46</v>
      </c>
      <c r="J216">
        <v>0</v>
      </c>
      <c r="K216">
        <v>5.4569999999999999</v>
      </c>
      <c r="L216">
        <v>19</v>
      </c>
      <c r="M216" t="s">
        <v>14</v>
      </c>
      <c r="N216">
        <v>20.49</v>
      </c>
      <c r="O216">
        <v>-6.3042999999999996</v>
      </c>
      <c r="P216">
        <v>142.61199999999999</v>
      </c>
      <c r="Q216" t="s">
        <v>436</v>
      </c>
      <c r="S216" t="s">
        <v>89</v>
      </c>
      <c r="U216" t="str">
        <f t="shared" si="9"/>
        <v>N km direction of city</v>
      </c>
      <c r="V216" t="str">
        <f t="shared" si="10"/>
        <v>mww</v>
      </c>
      <c r="X216">
        <f t="shared" si="11"/>
        <v>2018</v>
      </c>
    </row>
    <row r="217" spans="1:24">
      <c r="A217" t="s">
        <v>437</v>
      </c>
      <c r="B217">
        <v>7.5</v>
      </c>
      <c r="C217" s="1">
        <v>43156.738888888889</v>
      </c>
      <c r="D217">
        <v>9</v>
      </c>
      <c r="E217">
        <v>8</v>
      </c>
      <c r="F217" t="s">
        <v>18</v>
      </c>
      <c r="G217">
        <v>1</v>
      </c>
      <c r="H217">
        <v>943</v>
      </c>
      <c r="I217" t="s">
        <v>46</v>
      </c>
      <c r="J217">
        <v>0</v>
      </c>
      <c r="K217">
        <v>5.48</v>
      </c>
      <c r="L217">
        <v>17</v>
      </c>
      <c r="M217" t="s">
        <v>14</v>
      </c>
      <c r="N217">
        <v>25.21</v>
      </c>
      <c r="O217">
        <v>-6.0698999999999996</v>
      </c>
      <c r="P217">
        <v>142.75399999999999</v>
      </c>
      <c r="Q217" t="s">
        <v>436</v>
      </c>
      <c r="S217" t="s">
        <v>89</v>
      </c>
      <c r="U217" t="str">
        <f t="shared" si="9"/>
        <v>N km direction of city</v>
      </c>
      <c r="V217" t="str">
        <f t="shared" si="10"/>
        <v>mww</v>
      </c>
      <c r="X217">
        <f t="shared" si="11"/>
        <v>2018</v>
      </c>
    </row>
    <row r="218" spans="1:24">
      <c r="A218" t="s">
        <v>438</v>
      </c>
      <c r="B218">
        <v>7.2</v>
      </c>
      <c r="C218" s="1">
        <v>43147.98541666667</v>
      </c>
      <c r="D218">
        <v>7</v>
      </c>
      <c r="E218">
        <v>7</v>
      </c>
      <c r="F218" t="s">
        <v>18</v>
      </c>
      <c r="G218">
        <v>1</v>
      </c>
      <c r="H218">
        <v>1384</v>
      </c>
      <c r="I218" t="s">
        <v>46</v>
      </c>
      <c r="J218">
        <v>0</v>
      </c>
      <c r="K218">
        <v>0.14199999999999999</v>
      </c>
      <c r="L218">
        <v>82</v>
      </c>
      <c r="M218" t="s">
        <v>14</v>
      </c>
      <c r="N218">
        <v>22</v>
      </c>
      <c r="O218">
        <v>16.3855</v>
      </c>
      <c r="P218">
        <v>-97.978700000000003</v>
      </c>
      <c r="Q218" t="s">
        <v>439</v>
      </c>
      <c r="R218" t="s">
        <v>139</v>
      </c>
      <c r="S218" t="s">
        <v>140</v>
      </c>
      <c r="U218" t="str">
        <f t="shared" si="9"/>
        <v>N km direction of city</v>
      </c>
      <c r="V218" t="str">
        <f t="shared" si="10"/>
        <v>mww</v>
      </c>
      <c r="X218">
        <f t="shared" si="11"/>
        <v>2018</v>
      </c>
    </row>
    <row r="219" spans="1:24">
      <c r="A219" t="s">
        <v>440</v>
      </c>
      <c r="B219">
        <v>7.9</v>
      </c>
      <c r="C219" s="1">
        <v>43123.396527777782</v>
      </c>
      <c r="D219">
        <v>9</v>
      </c>
      <c r="E219">
        <v>4</v>
      </c>
      <c r="F219" t="s">
        <v>15</v>
      </c>
      <c r="G219">
        <v>1</v>
      </c>
      <c r="H219">
        <v>1870</v>
      </c>
      <c r="I219" t="s">
        <v>46</v>
      </c>
      <c r="J219">
        <v>0</v>
      </c>
      <c r="K219">
        <v>2.585</v>
      </c>
      <c r="L219">
        <v>30</v>
      </c>
      <c r="M219" t="s">
        <v>14</v>
      </c>
      <c r="N219">
        <v>14.06</v>
      </c>
      <c r="O219">
        <v>56.003900000000002</v>
      </c>
      <c r="P219">
        <v>-149.166</v>
      </c>
      <c r="Q219" t="s">
        <v>441</v>
      </c>
      <c r="U219" t="str">
        <f t="shared" si="9"/>
        <v>N km direction of city</v>
      </c>
      <c r="V219" t="str">
        <f t="shared" si="10"/>
        <v>mww</v>
      </c>
      <c r="X219">
        <f t="shared" si="11"/>
        <v>2018</v>
      </c>
    </row>
    <row r="220" spans="1:24">
      <c r="A220" t="s">
        <v>442</v>
      </c>
      <c r="B220">
        <v>7.1</v>
      </c>
      <c r="C220" s="1">
        <v>43114.387499999997</v>
      </c>
      <c r="D220">
        <v>9</v>
      </c>
      <c r="E220">
        <v>7</v>
      </c>
      <c r="F220" t="s">
        <v>15</v>
      </c>
      <c r="G220">
        <v>1</v>
      </c>
      <c r="H220">
        <v>1075</v>
      </c>
      <c r="I220" t="s">
        <v>46</v>
      </c>
      <c r="J220">
        <v>0</v>
      </c>
      <c r="K220">
        <v>4.29</v>
      </c>
      <c r="L220">
        <v>23</v>
      </c>
      <c r="M220" t="s">
        <v>14</v>
      </c>
      <c r="N220">
        <v>39</v>
      </c>
      <c r="O220">
        <v>-15.7675</v>
      </c>
      <c r="P220">
        <v>-74.709199999999996</v>
      </c>
      <c r="Q220" t="s">
        <v>443</v>
      </c>
      <c r="S220" t="s">
        <v>164</v>
      </c>
      <c r="U220" t="str">
        <f t="shared" si="9"/>
        <v>N km direction of city</v>
      </c>
      <c r="V220" t="str">
        <f t="shared" si="10"/>
        <v>mww</v>
      </c>
      <c r="X220">
        <f t="shared" si="11"/>
        <v>2018</v>
      </c>
    </row>
    <row r="221" spans="1:24">
      <c r="A221" t="s">
        <v>444</v>
      </c>
      <c r="B221">
        <v>7.5</v>
      </c>
      <c r="C221" s="1">
        <v>43110.118750000001</v>
      </c>
      <c r="D221">
        <v>8</v>
      </c>
      <c r="E221">
        <v>5</v>
      </c>
      <c r="F221" t="s">
        <v>15</v>
      </c>
      <c r="G221">
        <v>1</v>
      </c>
      <c r="H221">
        <v>1623</v>
      </c>
      <c r="I221" t="s">
        <v>46</v>
      </c>
      <c r="J221">
        <v>0</v>
      </c>
      <c r="K221">
        <v>4.5810000000000004</v>
      </c>
      <c r="L221">
        <v>12</v>
      </c>
      <c r="M221" t="s">
        <v>14</v>
      </c>
      <c r="N221">
        <v>19</v>
      </c>
      <c r="O221">
        <v>17.482500000000002</v>
      </c>
      <c r="P221">
        <v>-83.52</v>
      </c>
      <c r="Q221" t="s">
        <v>445</v>
      </c>
      <c r="U221" t="str">
        <f t="shared" si="9"/>
        <v>N km direction of city</v>
      </c>
      <c r="V221" t="str">
        <f t="shared" si="10"/>
        <v>mww</v>
      </c>
      <c r="X221">
        <f t="shared" si="11"/>
        <v>2018</v>
      </c>
    </row>
    <row r="222" spans="1:24">
      <c r="A222" t="s">
        <v>446</v>
      </c>
      <c r="B222">
        <v>6.5</v>
      </c>
      <c r="C222" s="1">
        <v>43084.699305555558</v>
      </c>
      <c r="D222">
        <v>8</v>
      </c>
      <c r="E222">
        <v>7</v>
      </c>
      <c r="F222" t="s">
        <v>15</v>
      </c>
      <c r="G222">
        <v>0</v>
      </c>
      <c r="H222">
        <v>998</v>
      </c>
      <c r="I222" t="s">
        <v>46</v>
      </c>
      <c r="J222">
        <v>0</v>
      </c>
      <c r="K222">
        <v>2.3650000000000002</v>
      </c>
      <c r="L222">
        <v>28</v>
      </c>
      <c r="M222" t="s">
        <v>14</v>
      </c>
      <c r="N222">
        <v>90</v>
      </c>
      <c r="O222">
        <v>-7.4920999999999998</v>
      </c>
      <c r="P222">
        <v>108.17400000000001</v>
      </c>
      <c r="Q222" t="s">
        <v>447</v>
      </c>
      <c r="S222" t="s">
        <v>77</v>
      </c>
      <c r="U222" t="str">
        <f t="shared" si="9"/>
        <v>N km direction of city</v>
      </c>
      <c r="V222" t="str">
        <f t="shared" si="10"/>
        <v>mww</v>
      </c>
      <c r="X222">
        <f t="shared" si="11"/>
        <v>2017</v>
      </c>
    </row>
    <row r="223" spans="1:24">
      <c r="A223" t="s">
        <v>448</v>
      </c>
      <c r="B223">
        <v>6.5</v>
      </c>
      <c r="C223" s="1">
        <v>43082.752083333333</v>
      </c>
      <c r="D223">
        <v>1</v>
      </c>
      <c r="E223">
        <v>5</v>
      </c>
      <c r="F223" t="s">
        <v>15</v>
      </c>
      <c r="G223">
        <v>1</v>
      </c>
      <c r="H223">
        <v>651</v>
      </c>
      <c r="I223" t="s">
        <v>46</v>
      </c>
      <c r="J223">
        <v>0</v>
      </c>
      <c r="K223">
        <v>17.654</v>
      </c>
      <c r="L223">
        <v>23</v>
      </c>
      <c r="M223" t="s">
        <v>14</v>
      </c>
      <c r="N223">
        <v>17</v>
      </c>
      <c r="O223">
        <v>-54.218899999999998</v>
      </c>
      <c r="P223">
        <v>2.1627999999999998</v>
      </c>
      <c r="Q223" t="s">
        <v>449</v>
      </c>
      <c r="U223" t="str">
        <f t="shared" si="9"/>
        <v>Named-region</v>
      </c>
      <c r="V223" t="str">
        <f t="shared" si="10"/>
        <v>mww</v>
      </c>
      <c r="X223">
        <f t="shared" si="11"/>
        <v>2017</v>
      </c>
    </row>
    <row r="224" spans="1:24">
      <c r="A224" t="s">
        <v>450</v>
      </c>
      <c r="B224">
        <v>7</v>
      </c>
      <c r="C224" s="1">
        <v>43058.946527777778</v>
      </c>
      <c r="D224">
        <v>4</v>
      </c>
      <c r="E224">
        <v>6</v>
      </c>
      <c r="F224" t="s">
        <v>15</v>
      </c>
      <c r="G224">
        <v>1</v>
      </c>
      <c r="H224">
        <v>771</v>
      </c>
      <c r="I224" t="s">
        <v>46</v>
      </c>
      <c r="J224">
        <v>0</v>
      </c>
      <c r="K224">
        <v>0.61699999999999999</v>
      </c>
      <c r="L224">
        <v>14</v>
      </c>
      <c r="M224" t="s">
        <v>14</v>
      </c>
      <c r="N224">
        <v>10</v>
      </c>
      <c r="O224">
        <v>-21.3246</v>
      </c>
      <c r="P224">
        <v>168.67099999999999</v>
      </c>
      <c r="Q224" t="s">
        <v>171</v>
      </c>
      <c r="U224" t="str">
        <f t="shared" si="9"/>
        <v>N km direction of city</v>
      </c>
      <c r="V224" t="str">
        <f t="shared" si="10"/>
        <v>mww</v>
      </c>
      <c r="X224">
        <f t="shared" si="11"/>
        <v>2017</v>
      </c>
    </row>
    <row r="225" spans="1:24">
      <c r="A225" t="s">
        <v>451</v>
      </c>
      <c r="B225">
        <v>6.6</v>
      </c>
      <c r="C225" s="1">
        <v>43058.631249999999</v>
      </c>
      <c r="D225">
        <v>4</v>
      </c>
      <c r="E225">
        <v>5</v>
      </c>
      <c r="F225" t="s">
        <v>15</v>
      </c>
      <c r="G225">
        <v>1</v>
      </c>
      <c r="H225">
        <v>676</v>
      </c>
      <c r="I225" t="s">
        <v>46</v>
      </c>
      <c r="J225">
        <v>0</v>
      </c>
      <c r="K225">
        <v>0.52900000000000003</v>
      </c>
      <c r="L225">
        <v>21</v>
      </c>
      <c r="M225" t="s">
        <v>14</v>
      </c>
      <c r="N225">
        <v>13</v>
      </c>
      <c r="O225">
        <v>-21.502700000000001</v>
      </c>
      <c r="P225">
        <v>168.59800000000001</v>
      </c>
      <c r="Q225" t="s">
        <v>171</v>
      </c>
      <c r="U225" t="str">
        <f t="shared" si="9"/>
        <v>N km direction of city</v>
      </c>
      <c r="V225" t="str">
        <f t="shared" si="10"/>
        <v>mww</v>
      </c>
      <c r="X225">
        <f t="shared" si="11"/>
        <v>2017</v>
      </c>
    </row>
    <row r="226" spans="1:24">
      <c r="A226" t="s">
        <v>452</v>
      </c>
      <c r="B226">
        <v>6.5</v>
      </c>
      <c r="C226" s="1">
        <v>43052.102777777778</v>
      </c>
      <c r="D226">
        <v>8</v>
      </c>
      <c r="E226">
        <v>8</v>
      </c>
      <c r="F226" t="s">
        <v>18</v>
      </c>
      <c r="G226">
        <v>1</v>
      </c>
      <c r="H226">
        <v>1153</v>
      </c>
      <c r="I226" t="s">
        <v>46</v>
      </c>
      <c r="J226">
        <v>0</v>
      </c>
      <c r="K226">
        <v>0.22500000000000001</v>
      </c>
      <c r="L226">
        <v>37</v>
      </c>
      <c r="M226" t="s">
        <v>14</v>
      </c>
      <c r="N226">
        <v>19.36</v>
      </c>
      <c r="O226">
        <v>9.5146999999999995</v>
      </c>
      <c r="P226">
        <v>-84.486500000000007</v>
      </c>
      <c r="Q226" t="s">
        <v>453</v>
      </c>
      <c r="S226" t="s">
        <v>454</v>
      </c>
      <c r="U226" t="str">
        <f t="shared" si="9"/>
        <v>N km direction of city</v>
      </c>
      <c r="V226" t="str">
        <f t="shared" si="10"/>
        <v>mww</v>
      </c>
      <c r="X226">
        <f t="shared" si="11"/>
        <v>2017</v>
      </c>
    </row>
    <row r="227" spans="1:24">
      <c r="A227" t="s">
        <v>455</v>
      </c>
      <c r="B227">
        <v>7.3</v>
      </c>
      <c r="C227" s="1">
        <v>43051.762499999997</v>
      </c>
      <c r="D227">
        <v>8</v>
      </c>
      <c r="E227">
        <v>9</v>
      </c>
      <c r="F227" t="s">
        <v>17</v>
      </c>
      <c r="G227">
        <v>0</v>
      </c>
      <c r="H227">
        <v>2790</v>
      </c>
      <c r="I227" t="s">
        <v>46</v>
      </c>
      <c r="J227">
        <v>0</v>
      </c>
      <c r="K227">
        <v>0.28399999999999997</v>
      </c>
      <c r="L227">
        <v>33</v>
      </c>
      <c r="M227" t="s">
        <v>14</v>
      </c>
      <c r="N227">
        <v>19</v>
      </c>
      <c r="O227">
        <v>34.910899999999998</v>
      </c>
      <c r="P227">
        <v>45.959200000000003</v>
      </c>
      <c r="Q227" t="s">
        <v>456</v>
      </c>
      <c r="R227" t="s">
        <v>85</v>
      </c>
      <c r="S227" t="s">
        <v>457</v>
      </c>
      <c r="U227" t="str">
        <f t="shared" si="9"/>
        <v>N km direction of city</v>
      </c>
      <c r="V227" t="str">
        <f t="shared" si="10"/>
        <v>mww</v>
      </c>
      <c r="X227">
        <f t="shared" si="11"/>
        <v>2017</v>
      </c>
    </row>
    <row r="228" spans="1:24">
      <c r="A228" t="s">
        <v>458</v>
      </c>
      <c r="B228">
        <v>6.5</v>
      </c>
      <c r="C228" s="1">
        <v>43046.893055555563</v>
      </c>
      <c r="D228">
        <v>6</v>
      </c>
      <c r="E228">
        <v>5</v>
      </c>
      <c r="F228" t="s">
        <v>15</v>
      </c>
      <c r="G228">
        <v>1</v>
      </c>
      <c r="H228">
        <v>661</v>
      </c>
      <c r="I228" t="s">
        <v>46</v>
      </c>
      <c r="J228">
        <v>0</v>
      </c>
      <c r="K228">
        <v>4.4489999999999998</v>
      </c>
      <c r="L228">
        <v>10</v>
      </c>
      <c r="M228" t="s">
        <v>14</v>
      </c>
      <c r="N228">
        <v>110.57</v>
      </c>
      <c r="O228">
        <v>-4.2432999999999996</v>
      </c>
      <c r="P228">
        <v>143.48500000000001</v>
      </c>
      <c r="Q228" t="s">
        <v>459</v>
      </c>
      <c r="S228" t="s">
        <v>89</v>
      </c>
      <c r="U228" t="str">
        <f t="shared" si="9"/>
        <v>N km direction of city</v>
      </c>
      <c r="V228" t="str">
        <f t="shared" si="10"/>
        <v>mww</v>
      </c>
      <c r="X228">
        <f t="shared" si="11"/>
        <v>2017</v>
      </c>
    </row>
    <row r="229" spans="1:24">
      <c r="A229" t="s">
        <v>460</v>
      </c>
      <c r="B229">
        <v>6.8</v>
      </c>
      <c r="C229" s="1">
        <v>43043.375</v>
      </c>
      <c r="D229">
        <v>5</v>
      </c>
      <c r="E229">
        <v>5</v>
      </c>
      <c r="F229" t="s">
        <v>15</v>
      </c>
      <c r="G229">
        <v>1</v>
      </c>
      <c r="H229">
        <v>727</v>
      </c>
      <c r="I229" t="s">
        <v>46</v>
      </c>
      <c r="J229">
        <v>0</v>
      </c>
      <c r="K229">
        <v>4.8520000000000003</v>
      </c>
      <c r="L229">
        <v>21</v>
      </c>
      <c r="M229" t="s">
        <v>14</v>
      </c>
      <c r="N229">
        <v>10</v>
      </c>
      <c r="O229">
        <v>-15.319699999999999</v>
      </c>
      <c r="P229">
        <v>-173.16800000000001</v>
      </c>
      <c r="Q229" t="s">
        <v>73</v>
      </c>
      <c r="U229" t="str">
        <f t="shared" si="9"/>
        <v>N km direction of city</v>
      </c>
      <c r="V229" t="str">
        <f t="shared" si="10"/>
        <v>mww</v>
      </c>
      <c r="X229">
        <f t="shared" si="11"/>
        <v>2017</v>
      </c>
    </row>
    <row r="230" spans="1:24">
      <c r="A230" t="s">
        <v>461</v>
      </c>
      <c r="B230">
        <v>6.6</v>
      </c>
      <c r="C230" s="1">
        <v>43040.099305555559</v>
      </c>
      <c r="D230">
        <v>3</v>
      </c>
      <c r="E230">
        <v>5</v>
      </c>
      <c r="F230" t="s">
        <v>15</v>
      </c>
      <c r="G230">
        <v>1</v>
      </c>
      <c r="H230">
        <v>674</v>
      </c>
      <c r="I230" t="s">
        <v>46</v>
      </c>
      <c r="J230">
        <v>0</v>
      </c>
      <c r="K230">
        <v>0.78800000000000003</v>
      </c>
      <c r="L230">
        <v>29</v>
      </c>
      <c r="M230" t="s">
        <v>14</v>
      </c>
      <c r="N230">
        <v>22</v>
      </c>
      <c r="O230">
        <v>-21.648399999999999</v>
      </c>
      <c r="P230">
        <v>168.85900000000001</v>
      </c>
      <c r="Q230" t="s">
        <v>171</v>
      </c>
      <c r="U230" t="str">
        <f t="shared" si="9"/>
        <v>N km direction of city</v>
      </c>
      <c r="V230" t="str">
        <f t="shared" si="10"/>
        <v>mww</v>
      </c>
      <c r="X230">
        <f t="shared" si="11"/>
        <v>2017</v>
      </c>
    </row>
    <row r="231" spans="1:24">
      <c r="A231" t="s">
        <v>462</v>
      </c>
      <c r="B231">
        <v>6.7</v>
      </c>
      <c r="C231" s="1">
        <v>43039.029166666667</v>
      </c>
      <c r="D231">
        <v>3</v>
      </c>
      <c r="E231">
        <v>4</v>
      </c>
      <c r="F231" t="s">
        <v>15</v>
      </c>
      <c r="G231">
        <v>1</v>
      </c>
      <c r="H231">
        <v>691</v>
      </c>
      <c r="I231" t="s">
        <v>46</v>
      </c>
      <c r="J231">
        <v>0</v>
      </c>
      <c r="K231">
        <v>1.0620000000000001</v>
      </c>
      <c r="L231">
        <v>55</v>
      </c>
      <c r="M231" t="s">
        <v>14</v>
      </c>
      <c r="N231">
        <v>24</v>
      </c>
      <c r="O231">
        <v>-21.697099999999999</v>
      </c>
      <c r="P231">
        <v>169.148</v>
      </c>
      <c r="Q231" t="s">
        <v>171</v>
      </c>
      <c r="U231" t="str">
        <f t="shared" si="9"/>
        <v>N km direction of city</v>
      </c>
      <c r="V231" t="str">
        <f t="shared" si="10"/>
        <v>mww</v>
      </c>
      <c r="X231">
        <f t="shared" si="11"/>
        <v>2017</v>
      </c>
    </row>
    <row r="232" spans="1:24">
      <c r="A232" t="s">
        <v>463</v>
      </c>
      <c r="B232">
        <v>6.7</v>
      </c>
      <c r="C232" s="1">
        <v>43032.449305555558</v>
      </c>
      <c r="D232">
        <v>3</v>
      </c>
      <c r="E232">
        <v>3</v>
      </c>
      <c r="F232" t="s">
        <v>15</v>
      </c>
      <c r="G232">
        <v>0</v>
      </c>
      <c r="H232">
        <v>694</v>
      </c>
      <c r="I232" t="s">
        <v>46</v>
      </c>
      <c r="J232">
        <v>0</v>
      </c>
      <c r="K232">
        <v>1.6339999999999999</v>
      </c>
      <c r="L232">
        <v>16</v>
      </c>
      <c r="M232" t="s">
        <v>14</v>
      </c>
      <c r="N232">
        <v>553.80999999999995</v>
      </c>
      <c r="O232">
        <v>-7.2168000000000001</v>
      </c>
      <c r="P232">
        <v>123.074</v>
      </c>
      <c r="Q232" t="s">
        <v>464</v>
      </c>
      <c r="S232" t="s">
        <v>77</v>
      </c>
      <c r="U232" t="str">
        <f t="shared" si="9"/>
        <v>N km direction of city</v>
      </c>
      <c r="V232" t="str">
        <f t="shared" si="10"/>
        <v>mww</v>
      </c>
      <c r="X232">
        <f t="shared" si="11"/>
        <v>2017</v>
      </c>
    </row>
    <row r="233" spans="1:24">
      <c r="A233" t="s">
        <v>465</v>
      </c>
      <c r="B233">
        <v>6.5</v>
      </c>
      <c r="C233" s="1">
        <v>43016.94027777778</v>
      </c>
      <c r="D233">
        <v>3</v>
      </c>
      <c r="E233">
        <v>5</v>
      </c>
      <c r="F233" t="s">
        <v>15</v>
      </c>
      <c r="G233">
        <v>1</v>
      </c>
      <c r="H233">
        <v>651</v>
      </c>
      <c r="I233" t="s">
        <v>46</v>
      </c>
      <c r="J233">
        <v>0</v>
      </c>
      <c r="K233">
        <v>1.1539999999999999</v>
      </c>
      <c r="L233">
        <v>11</v>
      </c>
      <c r="M233" t="s">
        <v>14</v>
      </c>
      <c r="N233">
        <v>119</v>
      </c>
      <c r="O233">
        <v>52.390900000000002</v>
      </c>
      <c r="P233">
        <v>176.76900000000001</v>
      </c>
      <c r="Q233" t="s">
        <v>466</v>
      </c>
      <c r="R233" t="s">
        <v>139</v>
      </c>
      <c r="U233" t="str">
        <f t="shared" si="9"/>
        <v>N km direction of city</v>
      </c>
      <c r="V233" t="str">
        <f t="shared" si="10"/>
        <v>mww</v>
      </c>
      <c r="X233">
        <f t="shared" si="11"/>
        <v>2017</v>
      </c>
    </row>
    <row r="234" spans="1:24">
      <c r="A234" t="s">
        <v>467</v>
      </c>
      <c r="B234">
        <v>7.1</v>
      </c>
      <c r="C234" s="1">
        <v>42997.759722222218</v>
      </c>
      <c r="D234">
        <v>9</v>
      </c>
      <c r="E234">
        <v>8</v>
      </c>
      <c r="G234">
        <v>0</v>
      </c>
      <c r="H234">
        <v>1686</v>
      </c>
      <c r="I234" t="s">
        <v>46</v>
      </c>
      <c r="J234">
        <v>0</v>
      </c>
      <c r="K234">
        <v>0.98399999999999999</v>
      </c>
      <c r="L234">
        <v>23</v>
      </c>
      <c r="M234" t="s">
        <v>14</v>
      </c>
      <c r="N234">
        <v>48</v>
      </c>
      <c r="O234">
        <v>18.549900000000001</v>
      </c>
      <c r="P234">
        <v>-98.488699999999994</v>
      </c>
      <c r="Q234" t="s">
        <v>468</v>
      </c>
      <c r="R234" t="s">
        <v>139</v>
      </c>
      <c r="S234" t="s">
        <v>140</v>
      </c>
      <c r="U234" t="str">
        <f t="shared" si="9"/>
        <v>N km direction of city</v>
      </c>
      <c r="V234" t="str">
        <f t="shared" si="10"/>
        <v>mww</v>
      </c>
      <c r="X234">
        <f t="shared" si="11"/>
        <v>2017</v>
      </c>
    </row>
    <row r="235" spans="1:24">
      <c r="A235" t="s">
        <v>469</v>
      </c>
      <c r="B235">
        <v>8.1999999999999993</v>
      </c>
      <c r="C235" s="1">
        <v>42986.200694444437</v>
      </c>
      <c r="D235">
        <v>9</v>
      </c>
      <c r="E235">
        <v>7</v>
      </c>
      <c r="F235" t="s">
        <v>17</v>
      </c>
      <c r="G235">
        <v>1</v>
      </c>
      <c r="H235">
        <v>2910</v>
      </c>
      <c r="I235" t="s">
        <v>46</v>
      </c>
      <c r="J235">
        <v>0</v>
      </c>
      <c r="K235">
        <v>0.94399999999999995</v>
      </c>
      <c r="L235">
        <v>22</v>
      </c>
      <c r="M235" t="s">
        <v>14</v>
      </c>
      <c r="N235">
        <v>47.39</v>
      </c>
      <c r="O235">
        <v>15.0222</v>
      </c>
      <c r="P235">
        <v>-93.899299999999997</v>
      </c>
      <c r="Q235" t="s">
        <v>470</v>
      </c>
      <c r="U235" t="str">
        <f t="shared" si="9"/>
        <v>Named-region</v>
      </c>
      <c r="V235" t="str">
        <f t="shared" si="10"/>
        <v>mww</v>
      </c>
      <c r="X235">
        <f t="shared" si="11"/>
        <v>2017</v>
      </c>
    </row>
    <row r="236" spans="1:24">
      <c r="A236" t="s">
        <v>471</v>
      </c>
      <c r="B236">
        <v>6.5</v>
      </c>
      <c r="C236" s="1">
        <v>42955.554861111108</v>
      </c>
      <c r="D236">
        <v>5</v>
      </c>
      <c r="E236">
        <v>7</v>
      </c>
      <c r="F236" t="s">
        <v>18</v>
      </c>
      <c r="G236">
        <v>0</v>
      </c>
      <c r="H236">
        <v>707</v>
      </c>
      <c r="I236" t="s">
        <v>46</v>
      </c>
      <c r="J236">
        <v>0</v>
      </c>
      <c r="K236">
        <v>11.411</v>
      </c>
      <c r="L236">
        <v>22</v>
      </c>
      <c r="M236" t="s">
        <v>14</v>
      </c>
      <c r="N236">
        <v>9</v>
      </c>
      <c r="O236">
        <v>33.192599999999999</v>
      </c>
      <c r="P236">
        <v>103.855</v>
      </c>
      <c r="Q236" t="s">
        <v>472</v>
      </c>
      <c r="R236" t="s">
        <v>85</v>
      </c>
      <c r="S236" t="s">
        <v>153</v>
      </c>
      <c r="U236" t="str">
        <f t="shared" si="9"/>
        <v>N km direction of city</v>
      </c>
      <c r="V236" t="str">
        <f t="shared" si="10"/>
        <v>mww</v>
      </c>
      <c r="X236">
        <f t="shared" si="11"/>
        <v>2017</v>
      </c>
    </row>
    <row r="237" spans="1:24">
      <c r="A237" t="s">
        <v>473</v>
      </c>
      <c r="B237">
        <v>6.6</v>
      </c>
      <c r="C237" s="1">
        <v>42936.938194444447</v>
      </c>
      <c r="D237">
        <v>7</v>
      </c>
      <c r="E237">
        <v>7</v>
      </c>
      <c r="F237" t="s">
        <v>18</v>
      </c>
      <c r="G237">
        <v>0</v>
      </c>
      <c r="H237">
        <v>1064</v>
      </c>
      <c r="I237" t="s">
        <v>46</v>
      </c>
      <c r="J237">
        <v>0</v>
      </c>
      <c r="K237">
        <v>0.91300000000000003</v>
      </c>
      <c r="L237">
        <v>16</v>
      </c>
      <c r="M237" t="s">
        <v>14</v>
      </c>
      <c r="N237">
        <v>7</v>
      </c>
      <c r="O237">
        <v>36.929299999999998</v>
      </c>
      <c r="P237">
        <v>27.413900000000002</v>
      </c>
      <c r="Q237" t="s">
        <v>474</v>
      </c>
      <c r="R237" t="s">
        <v>85</v>
      </c>
      <c r="S237" t="s">
        <v>315</v>
      </c>
      <c r="U237" t="str">
        <f t="shared" si="9"/>
        <v>N km direction of city</v>
      </c>
      <c r="V237" t="str">
        <f t="shared" si="10"/>
        <v>mww</v>
      </c>
      <c r="X237">
        <f t="shared" si="11"/>
        <v>2017</v>
      </c>
    </row>
    <row r="238" spans="1:24">
      <c r="A238" t="s">
        <v>475</v>
      </c>
      <c r="B238">
        <v>7.7</v>
      </c>
      <c r="C238" s="1">
        <v>42933.981944444437</v>
      </c>
      <c r="D238">
        <v>8</v>
      </c>
      <c r="E238">
        <v>7</v>
      </c>
      <c r="F238" t="s">
        <v>15</v>
      </c>
      <c r="G238">
        <v>1</v>
      </c>
      <c r="H238">
        <v>918</v>
      </c>
      <c r="I238" t="s">
        <v>46</v>
      </c>
      <c r="J238">
        <v>0</v>
      </c>
      <c r="K238">
        <v>3.5640000000000001</v>
      </c>
      <c r="L238">
        <v>13</v>
      </c>
      <c r="M238" t="s">
        <v>14</v>
      </c>
      <c r="N238">
        <v>10</v>
      </c>
      <c r="O238">
        <v>54.443399999999997</v>
      </c>
      <c r="P238">
        <v>168.857</v>
      </c>
      <c r="Q238" t="s">
        <v>476</v>
      </c>
      <c r="U238" t="str">
        <f t="shared" si="9"/>
        <v>Named-region</v>
      </c>
      <c r="V238" t="str">
        <f t="shared" si="10"/>
        <v>mww</v>
      </c>
      <c r="X238">
        <f t="shared" si="11"/>
        <v>2017</v>
      </c>
    </row>
    <row r="239" spans="1:24">
      <c r="A239" t="s">
        <v>477</v>
      </c>
      <c r="B239">
        <v>6.6</v>
      </c>
      <c r="C239" s="1">
        <v>42927.291666666657</v>
      </c>
      <c r="D239">
        <v>5</v>
      </c>
      <c r="E239">
        <v>4</v>
      </c>
      <c r="F239" t="s">
        <v>15</v>
      </c>
      <c r="G239">
        <v>1</v>
      </c>
      <c r="H239">
        <v>704</v>
      </c>
      <c r="I239" t="s">
        <v>46</v>
      </c>
      <c r="J239">
        <v>0</v>
      </c>
      <c r="K239">
        <v>3.7730000000000001</v>
      </c>
      <c r="L239">
        <v>37</v>
      </c>
      <c r="M239" t="s">
        <v>14</v>
      </c>
      <c r="N239">
        <v>10</v>
      </c>
      <c r="O239">
        <v>-49.483699999999999</v>
      </c>
      <c r="P239">
        <v>164.01599999999999</v>
      </c>
      <c r="Q239" t="s">
        <v>478</v>
      </c>
      <c r="U239" t="str">
        <f t="shared" si="9"/>
        <v>Named-region</v>
      </c>
      <c r="V239" t="str">
        <f t="shared" si="10"/>
        <v>mww</v>
      </c>
      <c r="X239">
        <f t="shared" si="11"/>
        <v>2017</v>
      </c>
    </row>
    <row r="240" spans="1:24">
      <c r="A240" t="s">
        <v>479</v>
      </c>
      <c r="B240">
        <v>6.5</v>
      </c>
      <c r="C240" s="1">
        <v>42922.335416666669</v>
      </c>
      <c r="D240">
        <v>9</v>
      </c>
      <c r="E240">
        <v>8</v>
      </c>
      <c r="F240" t="s">
        <v>18</v>
      </c>
      <c r="G240">
        <v>1</v>
      </c>
      <c r="H240">
        <v>740</v>
      </c>
      <c r="I240" t="s">
        <v>46</v>
      </c>
      <c r="J240">
        <v>0</v>
      </c>
      <c r="K240">
        <v>4.1390000000000002</v>
      </c>
      <c r="L240">
        <v>30</v>
      </c>
      <c r="M240" t="s">
        <v>14</v>
      </c>
      <c r="N240">
        <v>9</v>
      </c>
      <c r="O240">
        <v>11.126899999999999</v>
      </c>
      <c r="P240">
        <v>124.629</v>
      </c>
      <c r="Q240" t="s">
        <v>480</v>
      </c>
      <c r="S240" t="s">
        <v>158</v>
      </c>
      <c r="U240" t="str">
        <f t="shared" si="9"/>
        <v>N km direction of city</v>
      </c>
      <c r="V240" t="str">
        <f t="shared" si="10"/>
        <v>mww</v>
      </c>
      <c r="X240">
        <f t="shared" si="11"/>
        <v>2017</v>
      </c>
    </row>
    <row r="241" spans="1:24">
      <c r="A241" t="s">
        <v>481</v>
      </c>
      <c r="B241">
        <v>6.8</v>
      </c>
      <c r="C241" s="1">
        <v>42908.521527777782</v>
      </c>
      <c r="D241">
        <v>6</v>
      </c>
      <c r="E241">
        <v>6</v>
      </c>
      <c r="F241" t="s">
        <v>18</v>
      </c>
      <c r="G241">
        <v>1</v>
      </c>
      <c r="H241">
        <v>1034</v>
      </c>
      <c r="I241" t="s">
        <v>46</v>
      </c>
      <c r="J241">
        <v>0</v>
      </c>
      <c r="K241">
        <v>1.0649999999999999</v>
      </c>
      <c r="L241">
        <v>38</v>
      </c>
      <c r="M241" t="s">
        <v>14</v>
      </c>
      <c r="N241">
        <v>38.119999999999997</v>
      </c>
      <c r="O241">
        <v>13.7174</v>
      </c>
      <c r="P241">
        <v>-90.971800000000002</v>
      </c>
      <c r="Q241" t="s">
        <v>482</v>
      </c>
      <c r="U241" t="str">
        <f t="shared" si="9"/>
        <v>N km direction of city</v>
      </c>
      <c r="V241" t="str">
        <f t="shared" si="10"/>
        <v>mww</v>
      </c>
      <c r="X241">
        <f t="shared" si="11"/>
        <v>2017</v>
      </c>
    </row>
    <row r="242" spans="1:24">
      <c r="A242" t="s">
        <v>483</v>
      </c>
      <c r="B242">
        <v>6.9</v>
      </c>
      <c r="C242" s="1">
        <v>42900.311805555553</v>
      </c>
      <c r="D242">
        <v>8</v>
      </c>
      <c r="E242">
        <v>6</v>
      </c>
      <c r="F242" t="s">
        <v>18</v>
      </c>
      <c r="G242">
        <v>1</v>
      </c>
      <c r="H242">
        <v>1188</v>
      </c>
      <c r="I242" t="s">
        <v>46</v>
      </c>
      <c r="J242">
        <v>0</v>
      </c>
      <c r="K242">
        <v>0.247</v>
      </c>
      <c r="L242">
        <v>35</v>
      </c>
      <c r="M242" t="s">
        <v>14</v>
      </c>
      <c r="N242">
        <v>93</v>
      </c>
      <c r="O242">
        <v>14.9091</v>
      </c>
      <c r="P242">
        <v>-92.009200000000007</v>
      </c>
      <c r="Q242" t="s">
        <v>484</v>
      </c>
      <c r="S242" t="s">
        <v>485</v>
      </c>
      <c r="U242" t="str">
        <f t="shared" si="9"/>
        <v>N km direction of city</v>
      </c>
      <c r="V242" t="str">
        <f t="shared" si="10"/>
        <v>mww</v>
      </c>
      <c r="X242">
        <f t="shared" si="11"/>
        <v>2017</v>
      </c>
    </row>
    <row r="243" spans="1:24">
      <c r="A243" t="s">
        <v>486</v>
      </c>
      <c r="B243">
        <v>6.8</v>
      </c>
      <c r="C243" s="1">
        <v>42888.933333333327</v>
      </c>
      <c r="D243">
        <v>0</v>
      </c>
      <c r="E243">
        <v>4</v>
      </c>
      <c r="F243" t="s">
        <v>15</v>
      </c>
      <c r="G243">
        <v>1</v>
      </c>
      <c r="H243">
        <v>711</v>
      </c>
      <c r="I243" t="s">
        <v>46</v>
      </c>
      <c r="J243">
        <v>0</v>
      </c>
      <c r="K243">
        <v>2.3079999999999998</v>
      </c>
      <c r="L243">
        <v>12</v>
      </c>
      <c r="M243" t="s">
        <v>14</v>
      </c>
      <c r="N243">
        <v>5</v>
      </c>
      <c r="O243">
        <v>54.031199999999998</v>
      </c>
      <c r="P243">
        <v>170.92</v>
      </c>
      <c r="Q243" t="s">
        <v>466</v>
      </c>
      <c r="U243" t="str">
        <f t="shared" si="9"/>
        <v>N km direction of city</v>
      </c>
      <c r="V243" t="str">
        <f t="shared" si="10"/>
        <v>mww</v>
      </c>
      <c r="X243">
        <f t="shared" si="11"/>
        <v>2017</v>
      </c>
    </row>
    <row r="244" spans="1:24">
      <c r="A244" t="s">
        <v>487</v>
      </c>
      <c r="B244">
        <v>6.6</v>
      </c>
      <c r="C244" s="1">
        <v>42884.607638888891</v>
      </c>
      <c r="D244">
        <v>7</v>
      </c>
      <c r="E244">
        <v>7</v>
      </c>
      <c r="F244" t="s">
        <v>15</v>
      </c>
      <c r="G244">
        <v>0</v>
      </c>
      <c r="H244">
        <v>678</v>
      </c>
      <c r="I244" t="s">
        <v>46</v>
      </c>
      <c r="J244">
        <v>0</v>
      </c>
      <c r="K244">
        <v>2.3530000000000002</v>
      </c>
      <c r="L244">
        <v>18</v>
      </c>
      <c r="M244" t="s">
        <v>14</v>
      </c>
      <c r="N244">
        <v>12</v>
      </c>
      <c r="O244">
        <v>-1.2923</v>
      </c>
      <c r="P244">
        <v>120.431</v>
      </c>
      <c r="Q244" t="s">
        <v>488</v>
      </c>
      <c r="S244" t="s">
        <v>77</v>
      </c>
      <c r="U244" t="str">
        <f t="shared" si="9"/>
        <v>N km direction of city</v>
      </c>
      <c r="V244" t="str">
        <f t="shared" si="10"/>
        <v>mww</v>
      </c>
      <c r="X244">
        <f t="shared" si="11"/>
        <v>2017</v>
      </c>
    </row>
    <row r="245" spans="1:24">
      <c r="A245" t="s">
        <v>489</v>
      </c>
      <c r="B245">
        <v>6.5</v>
      </c>
      <c r="C245" s="1">
        <v>42865.974305555559</v>
      </c>
      <c r="D245">
        <v>0</v>
      </c>
      <c r="E245">
        <v>4</v>
      </c>
      <c r="F245" t="s">
        <v>15</v>
      </c>
      <c r="G245">
        <v>1</v>
      </c>
      <c r="H245">
        <v>650</v>
      </c>
      <c r="I245" t="s">
        <v>46</v>
      </c>
      <c r="J245">
        <v>0</v>
      </c>
      <c r="K245">
        <v>6.4889999999999999</v>
      </c>
      <c r="L245">
        <v>17</v>
      </c>
      <c r="M245" t="s">
        <v>14</v>
      </c>
      <c r="N245">
        <v>15</v>
      </c>
      <c r="O245">
        <v>-56.414000000000001</v>
      </c>
      <c r="P245">
        <v>-25.743200000000002</v>
      </c>
      <c r="Q245" t="s">
        <v>213</v>
      </c>
      <c r="U245" t="str">
        <f t="shared" si="9"/>
        <v>Named-region</v>
      </c>
      <c r="V245" t="str">
        <f t="shared" si="10"/>
        <v>mww</v>
      </c>
      <c r="X245">
        <f t="shared" si="11"/>
        <v>2017</v>
      </c>
    </row>
    <row r="246" spans="1:24">
      <c r="A246" t="s">
        <v>490</v>
      </c>
      <c r="B246">
        <v>6.8</v>
      </c>
      <c r="C246" s="1">
        <v>42864.577777777777</v>
      </c>
      <c r="D246">
        <v>6</v>
      </c>
      <c r="E246">
        <v>5</v>
      </c>
      <c r="F246" t="s">
        <v>15</v>
      </c>
      <c r="G246">
        <v>1</v>
      </c>
      <c r="H246">
        <v>713</v>
      </c>
      <c r="I246" t="s">
        <v>46</v>
      </c>
      <c r="J246">
        <v>0</v>
      </c>
      <c r="K246">
        <v>7.4950000000000001</v>
      </c>
      <c r="L246">
        <v>19</v>
      </c>
      <c r="M246" t="s">
        <v>14</v>
      </c>
      <c r="N246">
        <v>169</v>
      </c>
      <c r="O246">
        <v>-14.5884</v>
      </c>
      <c r="P246">
        <v>167.37700000000001</v>
      </c>
      <c r="Q246" t="s">
        <v>101</v>
      </c>
      <c r="S246" t="s">
        <v>48</v>
      </c>
      <c r="U246" t="str">
        <f t="shared" si="9"/>
        <v>N km direction of city</v>
      </c>
      <c r="V246" t="str">
        <f t="shared" si="10"/>
        <v>mww</v>
      </c>
      <c r="X246">
        <f t="shared" si="11"/>
        <v>2017</v>
      </c>
    </row>
    <row r="247" spans="1:24">
      <c r="A247" t="s">
        <v>491</v>
      </c>
      <c r="B247">
        <v>6.9</v>
      </c>
      <c r="C247" s="1">
        <v>42853.849305555559</v>
      </c>
      <c r="D247">
        <v>9</v>
      </c>
      <c r="E247">
        <v>6</v>
      </c>
      <c r="F247" t="s">
        <v>15</v>
      </c>
      <c r="G247">
        <v>1</v>
      </c>
      <c r="H247">
        <v>814</v>
      </c>
      <c r="I247" t="s">
        <v>46</v>
      </c>
      <c r="J247">
        <v>0</v>
      </c>
      <c r="K247">
        <v>1.6359999999999999</v>
      </c>
      <c r="L247">
        <v>14</v>
      </c>
      <c r="M247" t="s">
        <v>14</v>
      </c>
      <c r="N247">
        <v>26</v>
      </c>
      <c r="O247">
        <v>5.5042999999999997</v>
      </c>
      <c r="P247">
        <v>125.066</v>
      </c>
      <c r="Q247" t="s">
        <v>492</v>
      </c>
      <c r="S247" t="s">
        <v>158</v>
      </c>
      <c r="U247" t="str">
        <f t="shared" si="9"/>
        <v>N km direction of city</v>
      </c>
      <c r="V247" t="str">
        <f t="shared" si="10"/>
        <v>mww</v>
      </c>
      <c r="X247">
        <f t="shared" si="11"/>
        <v>2017</v>
      </c>
    </row>
    <row r="248" spans="1:24">
      <c r="A248" t="s">
        <v>493</v>
      </c>
      <c r="B248">
        <v>6.9</v>
      </c>
      <c r="C248" s="1">
        <v>42849.901388888888</v>
      </c>
      <c r="D248">
        <v>9</v>
      </c>
      <c r="E248">
        <v>7</v>
      </c>
      <c r="F248" t="s">
        <v>18</v>
      </c>
      <c r="G248">
        <v>1</v>
      </c>
      <c r="H248">
        <v>1642</v>
      </c>
      <c r="I248" t="s">
        <v>46</v>
      </c>
      <c r="J248">
        <v>0</v>
      </c>
      <c r="K248">
        <v>0.35599999999999998</v>
      </c>
      <c r="L248">
        <v>39</v>
      </c>
      <c r="M248" t="s">
        <v>14</v>
      </c>
      <c r="N248">
        <v>28</v>
      </c>
      <c r="O248">
        <v>-33.037500000000001</v>
      </c>
      <c r="P248">
        <v>-72.061700000000002</v>
      </c>
      <c r="Q248" t="s">
        <v>494</v>
      </c>
      <c r="U248" t="str">
        <f t="shared" si="9"/>
        <v>N km direction of city</v>
      </c>
      <c r="V248" t="str">
        <f t="shared" si="10"/>
        <v>mww</v>
      </c>
      <c r="X248">
        <f t="shared" si="11"/>
        <v>2017</v>
      </c>
    </row>
    <row r="249" spans="1:24">
      <c r="A249" t="s">
        <v>495</v>
      </c>
      <c r="B249">
        <v>6.5</v>
      </c>
      <c r="C249" s="1">
        <v>42828.736111111109</v>
      </c>
      <c r="D249">
        <v>7</v>
      </c>
      <c r="E249">
        <v>8</v>
      </c>
      <c r="F249" t="s">
        <v>15</v>
      </c>
      <c r="G249">
        <v>0</v>
      </c>
      <c r="H249">
        <v>1297</v>
      </c>
      <c r="I249" t="s">
        <v>46</v>
      </c>
      <c r="J249">
        <v>0</v>
      </c>
      <c r="K249">
        <v>2.36</v>
      </c>
      <c r="L249">
        <v>15</v>
      </c>
      <c r="M249" t="s">
        <v>14</v>
      </c>
      <c r="N249">
        <v>29</v>
      </c>
      <c r="O249">
        <v>-22.6784</v>
      </c>
      <c r="P249">
        <v>25.155799999999999</v>
      </c>
      <c r="Q249" t="s">
        <v>496</v>
      </c>
      <c r="R249" t="s">
        <v>497</v>
      </c>
      <c r="S249" t="s">
        <v>498</v>
      </c>
      <c r="U249" t="str">
        <f t="shared" si="9"/>
        <v>N km direction of city</v>
      </c>
      <c r="V249" t="str">
        <f t="shared" si="10"/>
        <v>mww</v>
      </c>
      <c r="X249">
        <f t="shared" si="11"/>
        <v>2017</v>
      </c>
    </row>
    <row r="250" spans="1:24">
      <c r="A250" t="s">
        <v>499</v>
      </c>
      <c r="B250">
        <v>6.6</v>
      </c>
      <c r="C250" s="1">
        <v>42823.17291666667</v>
      </c>
      <c r="D250">
        <v>6</v>
      </c>
      <c r="E250">
        <v>7</v>
      </c>
      <c r="F250" t="s">
        <v>18</v>
      </c>
      <c r="G250">
        <v>1</v>
      </c>
      <c r="H250">
        <v>671</v>
      </c>
      <c r="I250" t="s">
        <v>46</v>
      </c>
      <c r="J250">
        <v>0</v>
      </c>
      <c r="K250">
        <v>4.5910000000000002</v>
      </c>
      <c r="L250">
        <v>14</v>
      </c>
      <c r="M250" t="s">
        <v>14</v>
      </c>
      <c r="N250">
        <v>17</v>
      </c>
      <c r="O250">
        <v>56.940100000000001</v>
      </c>
      <c r="P250">
        <v>162.786</v>
      </c>
      <c r="Q250" t="s">
        <v>251</v>
      </c>
      <c r="R250" t="s">
        <v>85</v>
      </c>
      <c r="S250" t="s">
        <v>310</v>
      </c>
      <c r="U250" t="str">
        <f t="shared" si="9"/>
        <v>N km direction of city</v>
      </c>
      <c r="V250" t="str">
        <f t="shared" si="10"/>
        <v>mww</v>
      </c>
      <c r="X250">
        <f t="shared" si="11"/>
        <v>2017</v>
      </c>
    </row>
    <row r="251" spans="1:24">
      <c r="A251" t="s">
        <v>500</v>
      </c>
      <c r="B251">
        <v>6.9</v>
      </c>
      <c r="C251" s="1">
        <v>42790.727777777778</v>
      </c>
      <c r="D251">
        <v>2</v>
      </c>
      <c r="E251">
        <v>3</v>
      </c>
      <c r="F251" t="s">
        <v>15</v>
      </c>
      <c r="G251">
        <v>1</v>
      </c>
      <c r="H251">
        <v>733</v>
      </c>
      <c r="I251" t="s">
        <v>46</v>
      </c>
      <c r="J251">
        <v>0</v>
      </c>
      <c r="K251">
        <v>6.0119999999999996</v>
      </c>
      <c r="L251">
        <v>19</v>
      </c>
      <c r="M251" t="s">
        <v>14</v>
      </c>
      <c r="N251">
        <v>414.5</v>
      </c>
      <c r="O251">
        <v>-23.2593</v>
      </c>
      <c r="P251">
        <v>-178.804</v>
      </c>
      <c r="Q251" t="s">
        <v>65</v>
      </c>
      <c r="U251" t="str">
        <f t="shared" si="9"/>
        <v>Named-region</v>
      </c>
      <c r="V251" t="str">
        <f t="shared" si="10"/>
        <v>mww</v>
      </c>
      <c r="X251">
        <f t="shared" si="11"/>
        <v>2017</v>
      </c>
    </row>
    <row r="252" spans="1:24">
      <c r="A252" t="s">
        <v>501</v>
      </c>
      <c r="B252">
        <v>6.5</v>
      </c>
      <c r="C252" s="1">
        <v>42787.589583333327</v>
      </c>
      <c r="D252">
        <v>3</v>
      </c>
      <c r="E252">
        <v>3</v>
      </c>
      <c r="F252" t="s">
        <v>15</v>
      </c>
      <c r="G252">
        <v>0</v>
      </c>
      <c r="H252">
        <v>653</v>
      </c>
      <c r="I252" t="s">
        <v>46</v>
      </c>
      <c r="J252">
        <v>0</v>
      </c>
      <c r="K252">
        <v>4.242</v>
      </c>
      <c r="L252">
        <v>14</v>
      </c>
      <c r="M252" t="s">
        <v>14</v>
      </c>
      <c r="N252">
        <v>595.98</v>
      </c>
      <c r="O252">
        <v>-19.281400000000001</v>
      </c>
      <c r="P252">
        <v>-63.904699999999998</v>
      </c>
      <c r="Q252" t="s">
        <v>502</v>
      </c>
      <c r="R252" t="s">
        <v>53</v>
      </c>
      <c r="S252" t="s">
        <v>430</v>
      </c>
      <c r="U252" t="str">
        <f t="shared" si="9"/>
        <v>N km direction of city</v>
      </c>
      <c r="V252" t="str">
        <f t="shared" si="10"/>
        <v>mww</v>
      </c>
      <c r="X252">
        <f t="shared" si="11"/>
        <v>2017</v>
      </c>
    </row>
    <row r="253" spans="1:24">
      <c r="A253" t="s">
        <v>503</v>
      </c>
      <c r="B253">
        <v>6.5</v>
      </c>
      <c r="C253" s="1">
        <v>42776.585416666669</v>
      </c>
      <c r="D253">
        <v>8</v>
      </c>
      <c r="E253">
        <v>7</v>
      </c>
      <c r="F253" t="s">
        <v>18</v>
      </c>
      <c r="G253">
        <v>1</v>
      </c>
      <c r="H253">
        <v>718</v>
      </c>
      <c r="I253" t="s">
        <v>46</v>
      </c>
      <c r="J253">
        <v>0</v>
      </c>
      <c r="K253">
        <v>2.8220000000000001</v>
      </c>
      <c r="L253">
        <v>36</v>
      </c>
      <c r="M253" t="s">
        <v>14</v>
      </c>
      <c r="N253">
        <v>15</v>
      </c>
      <c r="O253">
        <v>9.9070999999999998</v>
      </c>
      <c r="P253">
        <v>125.452</v>
      </c>
      <c r="Q253" t="s">
        <v>504</v>
      </c>
      <c r="S253" t="s">
        <v>158</v>
      </c>
      <c r="U253" t="str">
        <f t="shared" si="9"/>
        <v>N km direction of city</v>
      </c>
      <c r="V253" t="str">
        <f t="shared" si="10"/>
        <v>mww</v>
      </c>
      <c r="X253">
        <f t="shared" si="11"/>
        <v>2017</v>
      </c>
    </row>
    <row r="254" spans="1:24">
      <c r="A254" t="s">
        <v>505</v>
      </c>
      <c r="B254">
        <v>7.9</v>
      </c>
      <c r="C254" s="1">
        <v>42757.1875</v>
      </c>
      <c r="D254">
        <v>9</v>
      </c>
      <c r="E254">
        <v>7</v>
      </c>
      <c r="F254" t="s">
        <v>18</v>
      </c>
      <c r="G254">
        <v>1</v>
      </c>
      <c r="H254">
        <v>987</v>
      </c>
      <c r="I254" t="s">
        <v>46</v>
      </c>
      <c r="J254">
        <v>0</v>
      </c>
      <c r="K254">
        <v>3.625</v>
      </c>
      <c r="L254">
        <v>9</v>
      </c>
      <c r="M254" t="s">
        <v>14</v>
      </c>
      <c r="N254">
        <v>135</v>
      </c>
      <c r="O254">
        <v>-6.2464000000000004</v>
      </c>
      <c r="P254">
        <v>155.172</v>
      </c>
      <c r="Q254" t="s">
        <v>506</v>
      </c>
      <c r="S254" t="s">
        <v>89</v>
      </c>
      <c r="U254" t="str">
        <f t="shared" si="9"/>
        <v>N km direction of city</v>
      </c>
      <c r="V254" t="str">
        <f t="shared" si="10"/>
        <v>mww</v>
      </c>
      <c r="X254">
        <f t="shared" si="11"/>
        <v>2017</v>
      </c>
    </row>
    <row r="255" spans="1:24">
      <c r="A255" t="s">
        <v>507</v>
      </c>
      <c r="B255">
        <v>6.5</v>
      </c>
      <c r="C255" s="1">
        <v>42754.961111111108</v>
      </c>
      <c r="D255">
        <v>6</v>
      </c>
      <c r="E255">
        <v>6</v>
      </c>
      <c r="F255" t="s">
        <v>15</v>
      </c>
      <c r="G255">
        <v>1</v>
      </c>
      <c r="H255">
        <v>654</v>
      </c>
      <c r="I255" t="s">
        <v>46</v>
      </c>
      <c r="J255">
        <v>0</v>
      </c>
      <c r="K255">
        <v>1.64</v>
      </c>
      <c r="L255">
        <v>21</v>
      </c>
      <c r="M255" t="s">
        <v>14</v>
      </c>
      <c r="N255">
        <v>36</v>
      </c>
      <c r="O255">
        <v>-10.3506</v>
      </c>
      <c r="P255">
        <v>161.33500000000001</v>
      </c>
      <c r="Q255" t="s">
        <v>406</v>
      </c>
      <c r="S255" t="s">
        <v>124</v>
      </c>
      <c r="U255" t="str">
        <f t="shared" si="9"/>
        <v>N km direction of city</v>
      </c>
      <c r="V255" t="str">
        <f t="shared" si="10"/>
        <v>mww</v>
      </c>
      <c r="X255">
        <f t="shared" si="11"/>
        <v>2017</v>
      </c>
    </row>
    <row r="256" spans="1:24">
      <c r="A256" t="s">
        <v>508</v>
      </c>
      <c r="B256">
        <v>7.3</v>
      </c>
      <c r="C256" s="1">
        <v>42745.259027777778</v>
      </c>
      <c r="D256">
        <v>6</v>
      </c>
      <c r="E256">
        <v>3</v>
      </c>
      <c r="F256" t="s">
        <v>15</v>
      </c>
      <c r="G256">
        <v>1</v>
      </c>
      <c r="H256">
        <v>849</v>
      </c>
      <c r="I256" t="s">
        <v>46</v>
      </c>
      <c r="J256">
        <v>0</v>
      </c>
      <c r="K256">
        <v>3.8130000000000002</v>
      </c>
      <c r="L256">
        <v>18</v>
      </c>
      <c r="M256" t="s">
        <v>14</v>
      </c>
      <c r="N256">
        <v>627.16999999999996</v>
      </c>
      <c r="O256">
        <v>4.4782000000000002</v>
      </c>
      <c r="P256">
        <v>122.617</v>
      </c>
      <c r="Q256" t="s">
        <v>509</v>
      </c>
      <c r="U256" t="str">
        <f t="shared" si="9"/>
        <v>N km direction of city</v>
      </c>
      <c r="V256" t="str">
        <f t="shared" si="10"/>
        <v>mww</v>
      </c>
      <c r="X256">
        <f t="shared" si="11"/>
        <v>2017</v>
      </c>
    </row>
    <row r="257" spans="1:24">
      <c r="A257" t="s">
        <v>510</v>
      </c>
      <c r="B257">
        <v>6.9</v>
      </c>
      <c r="C257" s="1">
        <v>42738.911111111112</v>
      </c>
      <c r="D257">
        <v>6</v>
      </c>
      <c r="E257">
        <v>4</v>
      </c>
      <c r="F257" t="s">
        <v>15</v>
      </c>
      <c r="G257">
        <v>1</v>
      </c>
      <c r="H257">
        <v>742</v>
      </c>
      <c r="I257" t="s">
        <v>46</v>
      </c>
      <c r="J257">
        <v>0</v>
      </c>
      <c r="K257">
        <v>2.4950000000000001</v>
      </c>
      <c r="L257">
        <v>13</v>
      </c>
      <c r="M257" t="s">
        <v>14</v>
      </c>
      <c r="N257">
        <v>12</v>
      </c>
      <c r="O257">
        <v>-19.3733</v>
      </c>
      <c r="P257">
        <v>176.05199999999999</v>
      </c>
      <c r="Q257" t="s">
        <v>511</v>
      </c>
      <c r="U257" t="str">
        <f t="shared" si="9"/>
        <v>N km direction of city</v>
      </c>
      <c r="V257" t="str">
        <f t="shared" si="10"/>
        <v>mww</v>
      </c>
      <c r="X257">
        <f t="shared" si="11"/>
        <v>2017</v>
      </c>
    </row>
    <row r="258" spans="1:24">
      <c r="A258" t="s">
        <v>512</v>
      </c>
      <c r="B258">
        <v>7.6</v>
      </c>
      <c r="C258" s="1">
        <v>42729.598611111112</v>
      </c>
      <c r="D258">
        <v>9</v>
      </c>
      <c r="E258">
        <v>8</v>
      </c>
      <c r="F258" t="s">
        <v>18</v>
      </c>
      <c r="G258">
        <v>1</v>
      </c>
      <c r="H258">
        <v>1152</v>
      </c>
      <c r="I258" t="s">
        <v>46</v>
      </c>
      <c r="J258">
        <v>0</v>
      </c>
      <c r="K258">
        <v>0.35499999999999998</v>
      </c>
      <c r="L258">
        <v>29</v>
      </c>
      <c r="M258" t="s">
        <v>14</v>
      </c>
      <c r="N258">
        <v>38</v>
      </c>
      <c r="O258">
        <v>-43.406399999999998</v>
      </c>
      <c r="P258">
        <v>-73.941299999999998</v>
      </c>
      <c r="Q258" t="s">
        <v>513</v>
      </c>
      <c r="R258" t="s">
        <v>53</v>
      </c>
      <c r="S258" t="s">
        <v>275</v>
      </c>
      <c r="U258" t="str">
        <f t="shared" ref="U258:U321" si="12">IF(ISNUMBER(SEARCH("km",A258)),"N km direction of city","Named-region")</f>
        <v>N km direction of city</v>
      </c>
      <c r="V258" t="str">
        <f t="shared" ref="V258:V321" si="13">LOWER(M258)</f>
        <v>mww</v>
      </c>
      <c r="X258">
        <f t="shared" ref="X258:X321" si="14">YEAR(C258)</f>
        <v>2016</v>
      </c>
    </row>
    <row r="259" spans="1:24">
      <c r="A259" t="s">
        <v>514</v>
      </c>
      <c r="B259">
        <v>6.7</v>
      </c>
      <c r="C259" s="1">
        <v>42725.011805555558</v>
      </c>
      <c r="D259">
        <v>5</v>
      </c>
      <c r="E259">
        <v>5</v>
      </c>
      <c r="F259" t="s">
        <v>15</v>
      </c>
      <c r="G259">
        <v>0</v>
      </c>
      <c r="H259">
        <v>726</v>
      </c>
      <c r="I259" t="s">
        <v>46</v>
      </c>
      <c r="J259">
        <v>0</v>
      </c>
      <c r="K259">
        <v>3.38</v>
      </c>
      <c r="L259">
        <v>17</v>
      </c>
      <c r="M259" t="s">
        <v>14</v>
      </c>
      <c r="N259">
        <v>152</v>
      </c>
      <c r="O259">
        <v>-7.5082000000000004</v>
      </c>
      <c r="P259">
        <v>127.92100000000001</v>
      </c>
      <c r="Q259" t="s">
        <v>195</v>
      </c>
      <c r="S259" t="s">
        <v>77</v>
      </c>
      <c r="U259" t="str">
        <f t="shared" si="12"/>
        <v>N km direction of city</v>
      </c>
      <c r="V259" t="str">
        <f t="shared" si="13"/>
        <v>mww</v>
      </c>
      <c r="X259">
        <f t="shared" si="14"/>
        <v>2016</v>
      </c>
    </row>
    <row r="260" spans="1:24">
      <c r="A260" t="s">
        <v>515</v>
      </c>
      <c r="B260">
        <v>7.9</v>
      </c>
      <c r="C260" s="1">
        <v>42721.45208333333</v>
      </c>
      <c r="D260">
        <v>9</v>
      </c>
      <c r="E260">
        <v>7</v>
      </c>
      <c r="F260" t="s">
        <v>18</v>
      </c>
      <c r="G260">
        <v>1</v>
      </c>
      <c r="H260">
        <v>972</v>
      </c>
      <c r="I260" t="s">
        <v>46</v>
      </c>
      <c r="J260">
        <v>0</v>
      </c>
      <c r="K260">
        <v>1.389</v>
      </c>
      <c r="L260">
        <v>13</v>
      </c>
      <c r="M260" t="s">
        <v>14</v>
      </c>
      <c r="N260">
        <v>94.54</v>
      </c>
      <c r="O260">
        <v>-4.5049000000000001</v>
      </c>
      <c r="P260">
        <v>153.52199999999999</v>
      </c>
      <c r="Q260" t="s">
        <v>434</v>
      </c>
      <c r="S260" t="s">
        <v>89</v>
      </c>
      <c r="U260" t="str">
        <f t="shared" si="12"/>
        <v>N km direction of city</v>
      </c>
      <c r="V260" t="str">
        <f t="shared" si="13"/>
        <v>mww</v>
      </c>
      <c r="X260">
        <f t="shared" si="14"/>
        <v>2016</v>
      </c>
    </row>
    <row r="261" spans="1:24">
      <c r="A261" t="s">
        <v>516</v>
      </c>
      <c r="B261">
        <v>6.9</v>
      </c>
      <c r="C261" s="1">
        <v>42713.798611111109</v>
      </c>
      <c r="D261">
        <v>8</v>
      </c>
      <c r="E261">
        <v>6</v>
      </c>
      <c r="F261" t="s">
        <v>15</v>
      </c>
      <c r="G261">
        <v>1</v>
      </c>
      <c r="H261">
        <v>737</v>
      </c>
      <c r="I261" t="s">
        <v>46</v>
      </c>
      <c r="J261">
        <v>0</v>
      </c>
      <c r="K261">
        <v>1.7470000000000001</v>
      </c>
      <c r="L261">
        <v>26</v>
      </c>
      <c r="M261" t="s">
        <v>14</v>
      </c>
      <c r="N261">
        <v>19.73</v>
      </c>
      <c r="O261">
        <v>-10.749000000000001</v>
      </c>
      <c r="P261">
        <v>161.13200000000001</v>
      </c>
      <c r="Q261" t="s">
        <v>406</v>
      </c>
      <c r="U261" t="str">
        <f t="shared" si="12"/>
        <v>N km direction of city</v>
      </c>
      <c r="V261" t="str">
        <f t="shared" si="13"/>
        <v>mww</v>
      </c>
      <c r="X261">
        <f t="shared" si="14"/>
        <v>2016</v>
      </c>
    </row>
    <row r="262" spans="1:24">
      <c r="A262" t="s">
        <v>517</v>
      </c>
      <c r="B262">
        <v>6.5</v>
      </c>
      <c r="C262" s="1">
        <v>42712.913888888892</v>
      </c>
      <c r="D262">
        <v>0</v>
      </c>
      <c r="E262">
        <v>5</v>
      </c>
      <c r="F262" t="s">
        <v>15</v>
      </c>
      <c r="G262">
        <v>0</v>
      </c>
      <c r="H262">
        <v>650</v>
      </c>
      <c r="I262" t="s">
        <v>46</v>
      </c>
      <c r="J262">
        <v>0</v>
      </c>
      <c r="K262">
        <v>1.9370000000000001</v>
      </c>
      <c r="L262">
        <v>18</v>
      </c>
      <c r="M262" t="s">
        <v>14</v>
      </c>
      <c r="N262">
        <v>12.26</v>
      </c>
      <c r="O262">
        <v>-10.8416</v>
      </c>
      <c r="P262">
        <v>161.31399999999999</v>
      </c>
      <c r="Q262" t="s">
        <v>406</v>
      </c>
      <c r="U262" t="str">
        <f t="shared" si="12"/>
        <v>N km direction of city</v>
      </c>
      <c r="V262" t="str">
        <f t="shared" si="13"/>
        <v>mww</v>
      </c>
      <c r="X262">
        <f t="shared" si="14"/>
        <v>2016</v>
      </c>
    </row>
    <row r="263" spans="1:24">
      <c r="A263" t="s">
        <v>518</v>
      </c>
      <c r="B263">
        <v>7.8</v>
      </c>
      <c r="C263" s="1">
        <v>42712.734722222223</v>
      </c>
      <c r="D263">
        <v>9</v>
      </c>
      <c r="E263">
        <v>8</v>
      </c>
      <c r="F263" t="s">
        <v>15</v>
      </c>
      <c r="G263">
        <v>1</v>
      </c>
      <c r="H263">
        <v>961</v>
      </c>
      <c r="I263" t="s">
        <v>46</v>
      </c>
      <c r="J263">
        <v>0</v>
      </c>
      <c r="K263">
        <v>1.8360000000000001</v>
      </c>
      <c r="L263">
        <v>13</v>
      </c>
      <c r="M263" t="s">
        <v>14</v>
      </c>
      <c r="N263">
        <v>40</v>
      </c>
      <c r="O263">
        <v>-10.6812</v>
      </c>
      <c r="P263">
        <v>161.327</v>
      </c>
      <c r="Q263" t="s">
        <v>406</v>
      </c>
      <c r="S263" t="s">
        <v>124</v>
      </c>
      <c r="U263" t="str">
        <f t="shared" si="12"/>
        <v>N km direction of city</v>
      </c>
      <c r="V263" t="str">
        <f t="shared" si="13"/>
        <v>mww</v>
      </c>
      <c r="X263">
        <f t="shared" si="14"/>
        <v>2016</v>
      </c>
    </row>
    <row r="264" spans="1:24">
      <c r="A264" t="s">
        <v>519</v>
      </c>
      <c r="B264">
        <v>6.6</v>
      </c>
      <c r="C264" s="1">
        <v>42712.617361111108</v>
      </c>
      <c r="D264">
        <v>5</v>
      </c>
      <c r="E264">
        <v>4</v>
      </c>
      <c r="F264" t="s">
        <v>15</v>
      </c>
      <c r="G264">
        <v>1</v>
      </c>
      <c r="H264">
        <v>1120</v>
      </c>
      <c r="I264" t="s">
        <v>46</v>
      </c>
      <c r="J264">
        <v>0</v>
      </c>
      <c r="K264">
        <v>1.405</v>
      </c>
      <c r="L264">
        <v>55</v>
      </c>
      <c r="M264" t="s">
        <v>14</v>
      </c>
      <c r="N264">
        <v>8.4499999999999993</v>
      </c>
      <c r="O264">
        <v>40.453499999999998</v>
      </c>
      <c r="P264">
        <v>-126.194</v>
      </c>
      <c r="Q264" t="s">
        <v>520</v>
      </c>
      <c r="U264" t="str">
        <f t="shared" si="12"/>
        <v>N km direction of city</v>
      </c>
      <c r="V264" t="str">
        <f t="shared" si="13"/>
        <v>mww</v>
      </c>
      <c r="X264">
        <f t="shared" si="14"/>
        <v>2016</v>
      </c>
    </row>
    <row r="265" spans="1:24">
      <c r="A265" t="s">
        <v>521</v>
      </c>
      <c r="B265">
        <v>6.5</v>
      </c>
      <c r="C265" s="1">
        <v>42710.918749999997</v>
      </c>
      <c r="D265">
        <v>9</v>
      </c>
      <c r="E265">
        <v>8</v>
      </c>
      <c r="F265" t="s">
        <v>18</v>
      </c>
      <c r="G265">
        <v>0</v>
      </c>
      <c r="H265">
        <v>731</v>
      </c>
      <c r="I265" t="s">
        <v>46</v>
      </c>
      <c r="J265">
        <v>0</v>
      </c>
      <c r="K265">
        <v>0.77800000000000002</v>
      </c>
      <c r="L265">
        <v>27</v>
      </c>
      <c r="M265" t="s">
        <v>14</v>
      </c>
      <c r="N265">
        <v>13</v>
      </c>
      <c r="O265">
        <v>5.2834000000000003</v>
      </c>
      <c r="P265">
        <v>96.1678</v>
      </c>
      <c r="Q265" t="s">
        <v>522</v>
      </c>
      <c r="S265" t="s">
        <v>77</v>
      </c>
      <c r="U265" t="str">
        <f t="shared" si="12"/>
        <v>N km direction of city</v>
      </c>
      <c r="V265" t="str">
        <f t="shared" si="13"/>
        <v>mww</v>
      </c>
      <c r="X265">
        <f t="shared" si="14"/>
        <v>2016</v>
      </c>
    </row>
    <row r="266" spans="1:24">
      <c r="A266" t="s">
        <v>523</v>
      </c>
      <c r="B266">
        <v>6.6</v>
      </c>
      <c r="C266" s="1">
        <v>42699.6</v>
      </c>
      <c r="D266">
        <v>8</v>
      </c>
      <c r="E266">
        <v>7</v>
      </c>
      <c r="F266" t="s">
        <v>15</v>
      </c>
      <c r="G266">
        <v>0</v>
      </c>
      <c r="H266">
        <v>693</v>
      </c>
      <c r="I266" t="s">
        <v>46</v>
      </c>
      <c r="J266">
        <v>0</v>
      </c>
      <c r="K266">
        <v>1.6970000000000001</v>
      </c>
      <c r="L266">
        <v>20</v>
      </c>
      <c r="M266" t="s">
        <v>14</v>
      </c>
      <c r="N266">
        <v>17</v>
      </c>
      <c r="O266">
        <v>39.273200000000003</v>
      </c>
      <c r="P266">
        <v>73.977599999999995</v>
      </c>
      <c r="Q266" t="s">
        <v>105</v>
      </c>
      <c r="R266" t="s">
        <v>85</v>
      </c>
      <c r="S266" t="s">
        <v>153</v>
      </c>
      <c r="U266" t="str">
        <f t="shared" si="12"/>
        <v>N km direction of city</v>
      </c>
      <c r="V266" t="str">
        <f t="shared" si="13"/>
        <v>mww</v>
      </c>
      <c r="X266">
        <f t="shared" si="14"/>
        <v>2016</v>
      </c>
    </row>
    <row r="267" spans="1:24">
      <c r="A267" t="s">
        <v>524</v>
      </c>
      <c r="B267">
        <v>6.9</v>
      </c>
      <c r="C267" s="1">
        <v>42698.779861111107</v>
      </c>
      <c r="D267">
        <v>5</v>
      </c>
      <c r="E267">
        <v>4</v>
      </c>
      <c r="F267" t="s">
        <v>15</v>
      </c>
      <c r="G267">
        <v>1</v>
      </c>
      <c r="H267">
        <v>855</v>
      </c>
      <c r="I267" t="s">
        <v>46</v>
      </c>
      <c r="J267">
        <v>0</v>
      </c>
      <c r="K267">
        <v>1.796</v>
      </c>
      <c r="L267">
        <v>20</v>
      </c>
      <c r="M267" t="s">
        <v>14</v>
      </c>
      <c r="N267">
        <v>10</v>
      </c>
      <c r="O267">
        <v>11.909700000000001</v>
      </c>
      <c r="P267">
        <v>-88.896799999999999</v>
      </c>
      <c r="Q267" t="s">
        <v>525</v>
      </c>
      <c r="U267" t="str">
        <f t="shared" si="12"/>
        <v>N km direction of city</v>
      </c>
      <c r="V267" t="str">
        <f t="shared" si="13"/>
        <v>mww</v>
      </c>
      <c r="X267">
        <f t="shared" si="14"/>
        <v>2016</v>
      </c>
    </row>
    <row r="268" spans="1:24">
      <c r="A268" t="s">
        <v>526</v>
      </c>
      <c r="B268">
        <v>6.9</v>
      </c>
      <c r="C268" s="1">
        <v>42695.874305555553</v>
      </c>
      <c r="D268">
        <v>9</v>
      </c>
      <c r="E268">
        <v>6</v>
      </c>
      <c r="F268" t="s">
        <v>15</v>
      </c>
      <c r="G268">
        <v>1</v>
      </c>
      <c r="H268">
        <v>1144</v>
      </c>
      <c r="I268" t="s">
        <v>46</v>
      </c>
      <c r="J268">
        <v>0</v>
      </c>
      <c r="K268">
        <v>0.67100000000000004</v>
      </c>
      <c r="L268">
        <v>10</v>
      </c>
      <c r="M268" t="s">
        <v>14</v>
      </c>
      <c r="N268">
        <v>9</v>
      </c>
      <c r="O268">
        <v>37.393099999999997</v>
      </c>
      <c r="P268">
        <v>141.387</v>
      </c>
      <c r="Q268" t="s">
        <v>175</v>
      </c>
      <c r="R268" t="s">
        <v>85</v>
      </c>
      <c r="U268" t="str">
        <f t="shared" si="12"/>
        <v>N km direction of city</v>
      </c>
      <c r="V268" t="str">
        <f t="shared" si="13"/>
        <v>mww</v>
      </c>
      <c r="X268">
        <f t="shared" si="14"/>
        <v>2016</v>
      </c>
    </row>
    <row r="269" spans="1:24">
      <c r="A269" t="s">
        <v>527</v>
      </c>
      <c r="B269">
        <v>6.5</v>
      </c>
      <c r="C269" s="1">
        <v>42688.023611111108</v>
      </c>
      <c r="D269">
        <v>7</v>
      </c>
      <c r="E269">
        <v>7</v>
      </c>
      <c r="F269" t="s">
        <v>18</v>
      </c>
      <c r="G269">
        <v>1</v>
      </c>
      <c r="H269">
        <v>664</v>
      </c>
      <c r="I269" t="s">
        <v>46</v>
      </c>
      <c r="J269">
        <v>0</v>
      </c>
      <c r="K269">
        <v>0.28299999999999997</v>
      </c>
      <c r="L269">
        <v>56</v>
      </c>
      <c r="M269" t="s">
        <v>14</v>
      </c>
      <c r="N269">
        <v>9</v>
      </c>
      <c r="O269">
        <v>-42.605800000000002</v>
      </c>
      <c r="P269">
        <v>173.25399999999999</v>
      </c>
      <c r="Q269" t="s">
        <v>528</v>
      </c>
      <c r="S269" t="s">
        <v>529</v>
      </c>
      <c r="U269" t="str">
        <f t="shared" si="12"/>
        <v>N km direction of city</v>
      </c>
      <c r="V269" t="str">
        <f t="shared" si="13"/>
        <v>mww</v>
      </c>
      <c r="X269">
        <f t="shared" si="14"/>
        <v>2016</v>
      </c>
    </row>
    <row r="270" spans="1:24">
      <c r="A270" t="s">
        <v>530</v>
      </c>
      <c r="B270">
        <v>6.5</v>
      </c>
      <c r="C270" s="1">
        <v>42687.480555555558</v>
      </c>
      <c r="D270">
        <v>6</v>
      </c>
      <c r="E270">
        <v>7</v>
      </c>
      <c r="F270" t="s">
        <v>18</v>
      </c>
      <c r="G270">
        <v>1</v>
      </c>
      <c r="H270">
        <v>656</v>
      </c>
      <c r="I270" t="s">
        <v>46</v>
      </c>
      <c r="J270">
        <v>0</v>
      </c>
      <c r="K270">
        <v>0.13500000000000001</v>
      </c>
      <c r="L270">
        <v>58</v>
      </c>
      <c r="M270" t="s">
        <v>14</v>
      </c>
      <c r="N270">
        <v>10</v>
      </c>
      <c r="O270">
        <v>-42.320500000000003</v>
      </c>
      <c r="P270">
        <v>173.66900000000001</v>
      </c>
      <c r="Q270" t="s">
        <v>531</v>
      </c>
      <c r="S270" t="s">
        <v>529</v>
      </c>
      <c r="U270" t="str">
        <f t="shared" si="12"/>
        <v>N km direction of city</v>
      </c>
      <c r="V270" t="str">
        <f t="shared" si="13"/>
        <v>mww</v>
      </c>
      <c r="X270">
        <f t="shared" si="14"/>
        <v>2016</v>
      </c>
    </row>
    <row r="271" spans="1:24">
      <c r="A271" t="s">
        <v>532</v>
      </c>
      <c r="B271">
        <v>7.8</v>
      </c>
      <c r="C271" s="1">
        <v>42687.459722222222</v>
      </c>
      <c r="D271">
        <v>9</v>
      </c>
      <c r="E271">
        <v>9</v>
      </c>
      <c r="F271" t="s">
        <v>16</v>
      </c>
      <c r="G271">
        <v>1</v>
      </c>
      <c r="H271">
        <v>1545</v>
      </c>
      <c r="I271" t="s">
        <v>46</v>
      </c>
      <c r="J271">
        <v>0</v>
      </c>
      <c r="K271">
        <v>0.48099999999999998</v>
      </c>
      <c r="L271">
        <v>21</v>
      </c>
      <c r="M271" t="s">
        <v>14</v>
      </c>
      <c r="N271">
        <v>15.11</v>
      </c>
      <c r="O271">
        <v>-42.737299999999998</v>
      </c>
      <c r="P271">
        <v>173.054</v>
      </c>
      <c r="Q271" t="s">
        <v>528</v>
      </c>
      <c r="S271" t="s">
        <v>529</v>
      </c>
      <c r="U271" t="str">
        <f t="shared" si="12"/>
        <v>N km direction of city</v>
      </c>
      <c r="V271" t="str">
        <f t="shared" si="13"/>
        <v>mww</v>
      </c>
      <c r="X271">
        <f t="shared" si="14"/>
        <v>2016</v>
      </c>
    </row>
    <row r="272" spans="1:24">
      <c r="A272" t="s">
        <v>533</v>
      </c>
      <c r="B272">
        <v>6.6</v>
      </c>
      <c r="C272" s="1">
        <v>42673.277777777781</v>
      </c>
      <c r="D272">
        <v>9</v>
      </c>
      <c r="E272">
        <v>8</v>
      </c>
      <c r="F272" t="s">
        <v>17</v>
      </c>
      <c r="G272">
        <v>0</v>
      </c>
      <c r="H272">
        <v>2840</v>
      </c>
      <c r="I272" t="s">
        <v>46</v>
      </c>
      <c r="J272">
        <v>0</v>
      </c>
      <c r="K272">
        <v>0.17399999999999999</v>
      </c>
      <c r="L272">
        <v>25</v>
      </c>
      <c r="M272" t="s">
        <v>14</v>
      </c>
      <c r="N272">
        <v>8</v>
      </c>
      <c r="O272">
        <v>42.862099999999998</v>
      </c>
      <c r="P272">
        <v>13.0961</v>
      </c>
      <c r="Q272" t="s">
        <v>534</v>
      </c>
      <c r="R272" t="s">
        <v>267</v>
      </c>
      <c r="S272" t="s">
        <v>535</v>
      </c>
      <c r="U272" t="str">
        <f t="shared" si="12"/>
        <v>N km direction of city</v>
      </c>
      <c r="V272" t="str">
        <f t="shared" si="13"/>
        <v>mww</v>
      </c>
      <c r="X272">
        <f t="shared" si="14"/>
        <v>2016</v>
      </c>
    </row>
    <row r="273" spans="1:24">
      <c r="A273" t="s">
        <v>536</v>
      </c>
      <c r="B273">
        <v>6.6</v>
      </c>
      <c r="C273" s="1">
        <v>42662.018055555563</v>
      </c>
      <c r="D273">
        <v>3</v>
      </c>
      <c r="E273">
        <v>3</v>
      </c>
      <c r="F273" t="s">
        <v>15</v>
      </c>
      <c r="G273">
        <v>0</v>
      </c>
      <c r="H273">
        <v>677</v>
      </c>
      <c r="I273" t="s">
        <v>46</v>
      </c>
      <c r="J273">
        <v>0</v>
      </c>
      <c r="K273">
        <v>2.0219999999999998</v>
      </c>
      <c r="L273">
        <v>16</v>
      </c>
      <c r="M273" t="s">
        <v>14</v>
      </c>
      <c r="N273">
        <v>614</v>
      </c>
      <c r="O273">
        <v>-4.8625999999999996</v>
      </c>
      <c r="P273">
        <v>108.163</v>
      </c>
      <c r="Q273" t="s">
        <v>537</v>
      </c>
      <c r="S273" t="s">
        <v>77</v>
      </c>
      <c r="U273" t="str">
        <f t="shared" si="12"/>
        <v>N km direction of city</v>
      </c>
      <c r="V273" t="str">
        <f t="shared" si="13"/>
        <v>mww</v>
      </c>
      <c r="X273">
        <f t="shared" si="14"/>
        <v>2016</v>
      </c>
    </row>
    <row r="274" spans="1:24">
      <c r="A274" t="s">
        <v>538</v>
      </c>
      <c r="B274">
        <v>6.8</v>
      </c>
      <c r="C274" s="1">
        <v>42660.259722222218</v>
      </c>
      <c r="D274">
        <v>3</v>
      </c>
      <c r="E274">
        <v>6</v>
      </c>
      <c r="F274" t="s">
        <v>15</v>
      </c>
      <c r="G274">
        <v>1</v>
      </c>
      <c r="H274">
        <v>716</v>
      </c>
      <c r="I274" t="s">
        <v>46</v>
      </c>
      <c r="J274">
        <v>0</v>
      </c>
      <c r="K274">
        <v>3.7269999999999999</v>
      </c>
      <c r="L274">
        <v>11</v>
      </c>
      <c r="M274" t="s">
        <v>14</v>
      </c>
      <c r="N274">
        <v>42</v>
      </c>
      <c r="O274">
        <v>-6.0033000000000003</v>
      </c>
      <c r="P274">
        <v>148.887</v>
      </c>
      <c r="Q274" t="s">
        <v>539</v>
      </c>
      <c r="S274" t="s">
        <v>89</v>
      </c>
      <c r="U274" t="str">
        <f t="shared" si="12"/>
        <v>N km direction of city</v>
      </c>
      <c r="V274" t="str">
        <f t="shared" si="13"/>
        <v>mww</v>
      </c>
      <c r="X274">
        <f t="shared" si="14"/>
        <v>2016</v>
      </c>
    </row>
    <row r="275" spans="1:24">
      <c r="A275" t="s">
        <v>540</v>
      </c>
      <c r="B275">
        <v>6.9</v>
      </c>
      <c r="C275" s="1">
        <v>42637.894444444442</v>
      </c>
      <c r="D275">
        <v>2</v>
      </c>
      <c r="E275">
        <v>3</v>
      </c>
      <c r="F275" t="s">
        <v>15</v>
      </c>
      <c r="G275">
        <v>1</v>
      </c>
      <c r="H275">
        <v>733</v>
      </c>
      <c r="I275" t="s">
        <v>46</v>
      </c>
      <c r="J275">
        <v>0</v>
      </c>
      <c r="K275">
        <v>4.0510000000000002</v>
      </c>
      <c r="L275">
        <v>9</v>
      </c>
      <c r="M275" t="s">
        <v>14</v>
      </c>
      <c r="N275">
        <v>596.4</v>
      </c>
      <c r="O275">
        <v>-19.7819</v>
      </c>
      <c r="P275">
        <v>-178.244</v>
      </c>
      <c r="Q275" t="s">
        <v>541</v>
      </c>
      <c r="S275" t="s">
        <v>128</v>
      </c>
      <c r="U275" t="str">
        <f t="shared" si="12"/>
        <v>Named-region</v>
      </c>
      <c r="V275" t="str">
        <f t="shared" si="13"/>
        <v>mww</v>
      </c>
      <c r="X275">
        <f t="shared" si="14"/>
        <v>2016</v>
      </c>
    </row>
    <row r="276" spans="1:24">
      <c r="A276" t="s">
        <v>542</v>
      </c>
      <c r="B276">
        <v>7</v>
      </c>
      <c r="C276" s="1">
        <v>42614.692361111112</v>
      </c>
      <c r="D276">
        <v>5</v>
      </c>
      <c r="E276">
        <v>6</v>
      </c>
      <c r="F276" t="s">
        <v>15</v>
      </c>
      <c r="G276">
        <v>1</v>
      </c>
      <c r="H276">
        <v>897</v>
      </c>
      <c r="I276" t="s">
        <v>46</v>
      </c>
      <c r="J276">
        <v>0</v>
      </c>
      <c r="K276">
        <v>0.69799999999999995</v>
      </c>
      <c r="L276">
        <v>21</v>
      </c>
      <c r="M276" t="s">
        <v>14</v>
      </c>
      <c r="N276">
        <v>19</v>
      </c>
      <c r="O276">
        <v>-37.358600000000003</v>
      </c>
      <c r="P276">
        <v>179.14599999999999</v>
      </c>
      <c r="Q276" t="s">
        <v>255</v>
      </c>
      <c r="U276" t="str">
        <f t="shared" si="12"/>
        <v>N km direction of city</v>
      </c>
      <c r="V276" t="str">
        <f t="shared" si="13"/>
        <v>mww</v>
      </c>
      <c r="X276">
        <f t="shared" si="14"/>
        <v>2016</v>
      </c>
    </row>
    <row r="277" spans="1:24">
      <c r="A277" t="s">
        <v>543</v>
      </c>
      <c r="B277">
        <v>6.8</v>
      </c>
      <c r="C277" s="1">
        <v>42613.132638888892</v>
      </c>
      <c r="D277">
        <v>4</v>
      </c>
      <c r="E277">
        <v>3</v>
      </c>
      <c r="F277" t="s">
        <v>15</v>
      </c>
      <c r="G277">
        <v>1</v>
      </c>
      <c r="H277">
        <v>713</v>
      </c>
      <c r="I277" t="s">
        <v>46</v>
      </c>
      <c r="J277">
        <v>0</v>
      </c>
      <c r="K277">
        <v>0.80300000000000005</v>
      </c>
      <c r="L277">
        <v>12</v>
      </c>
      <c r="M277" t="s">
        <v>14</v>
      </c>
      <c r="N277">
        <v>476</v>
      </c>
      <c r="O277">
        <v>-3.6848999999999998</v>
      </c>
      <c r="P277">
        <v>152.792</v>
      </c>
      <c r="Q277" t="s">
        <v>544</v>
      </c>
      <c r="S277" t="s">
        <v>89</v>
      </c>
      <c r="U277" t="str">
        <f t="shared" si="12"/>
        <v>N km direction of city</v>
      </c>
      <c r="V277" t="str">
        <f t="shared" si="13"/>
        <v>mww</v>
      </c>
      <c r="X277">
        <f t="shared" si="14"/>
        <v>2016</v>
      </c>
    </row>
    <row r="278" spans="1:24">
      <c r="A278" t="s">
        <v>545</v>
      </c>
      <c r="B278">
        <v>6.8</v>
      </c>
      <c r="C278" s="1">
        <v>42606.44027777778</v>
      </c>
      <c r="D278">
        <v>6</v>
      </c>
      <c r="E278">
        <v>6</v>
      </c>
      <c r="F278" t="s">
        <v>18</v>
      </c>
      <c r="G278">
        <v>0</v>
      </c>
      <c r="H278">
        <v>981</v>
      </c>
      <c r="I278" t="s">
        <v>46</v>
      </c>
      <c r="J278">
        <v>0</v>
      </c>
      <c r="K278">
        <v>1.802</v>
      </c>
      <c r="L278">
        <v>17</v>
      </c>
      <c r="M278" t="s">
        <v>14</v>
      </c>
      <c r="N278">
        <v>82</v>
      </c>
      <c r="O278">
        <v>20.922799999999999</v>
      </c>
      <c r="P278">
        <v>94.569000000000003</v>
      </c>
      <c r="Q278" t="s">
        <v>546</v>
      </c>
      <c r="R278" t="s">
        <v>85</v>
      </c>
      <c r="S278" t="s">
        <v>547</v>
      </c>
      <c r="U278" t="str">
        <f t="shared" si="12"/>
        <v>N km direction of city</v>
      </c>
      <c r="V278" t="str">
        <f t="shared" si="13"/>
        <v>mww</v>
      </c>
      <c r="X278">
        <f t="shared" si="14"/>
        <v>2016</v>
      </c>
    </row>
    <row r="279" spans="1:24">
      <c r="A279" t="s">
        <v>548</v>
      </c>
      <c r="B279">
        <v>7.2</v>
      </c>
      <c r="C279" s="1">
        <v>42594.05972222222</v>
      </c>
      <c r="D279">
        <v>6</v>
      </c>
      <c r="E279">
        <v>5</v>
      </c>
      <c r="F279" t="s">
        <v>15</v>
      </c>
      <c r="G279">
        <v>1</v>
      </c>
      <c r="H279">
        <v>799</v>
      </c>
      <c r="I279" t="s">
        <v>46</v>
      </c>
      <c r="J279">
        <v>0</v>
      </c>
      <c r="K279">
        <v>4.8230000000000004</v>
      </c>
      <c r="L279">
        <v>14</v>
      </c>
      <c r="M279" t="s">
        <v>14</v>
      </c>
      <c r="N279">
        <v>16.37</v>
      </c>
      <c r="O279">
        <v>-22.476500000000001</v>
      </c>
      <c r="P279">
        <v>173.11699999999999</v>
      </c>
      <c r="Q279" t="s">
        <v>70</v>
      </c>
      <c r="U279" t="str">
        <f t="shared" si="12"/>
        <v>Named-region</v>
      </c>
      <c r="V279" t="str">
        <f t="shared" si="13"/>
        <v>mww</v>
      </c>
      <c r="X279">
        <f t="shared" si="14"/>
        <v>2016</v>
      </c>
    </row>
    <row r="280" spans="1:24">
      <c r="A280" t="s">
        <v>549</v>
      </c>
      <c r="B280">
        <v>7.7</v>
      </c>
      <c r="C280" s="1">
        <v>42580.887499999997</v>
      </c>
      <c r="D280">
        <v>5</v>
      </c>
      <c r="E280">
        <v>6</v>
      </c>
      <c r="F280" t="s">
        <v>15</v>
      </c>
      <c r="G280">
        <v>1</v>
      </c>
      <c r="H280">
        <v>971</v>
      </c>
      <c r="I280" t="s">
        <v>46</v>
      </c>
      <c r="J280">
        <v>0</v>
      </c>
      <c r="K280">
        <v>3.294</v>
      </c>
      <c r="L280">
        <v>14</v>
      </c>
      <c r="M280" t="s">
        <v>14</v>
      </c>
      <c r="N280">
        <v>196</v>
      </c>
      <c r="O280">
        <v>18.542899999999999</v>
      </c>
      <c r="P280">
        <v>145.50700000000001</v>
      </c>
      <c r="Q280" t="s">
        <v>550</v>
      </c>
      <c r="U280" t="str">
        <f t="shared" si="12"/>
        <v>Named-region</v>
      </c>
      <c r="V280" t="str">
        <f t="shared" si="13"/>
        <v>mww</v>
      </c>
      <c r="X280">
        <f t="shared" si="14"/>
        <v>2016</v>
      </c>
    </row>
    <row r="281" spans="1:24">
      <c r="A281" t="s">
        <v>551</v>
      </c>
      <c r="B281">
        <v>6.6</v>
      </c>
      <c r="C281" s="1">
        <v>42522.955555555563</v>
      </c>
      <c r="D281">
        <v>4</v>
      </c>
      <c r="E281">
        <v>6</v>
      </c>
      <c r="F281" t="s">
        <v>15</v>
      </c>
      <c r="G281">
        <v>0</v>
      </c>
      <c r="H281">
        <v>671</v>
      </c>
      <c r="I281" t="s">
        <v>46</v>
      </c>
      <c r="J281">
        <v>0</v>
      </c>
      <c r="K281">
        <v>2.4350000000000001</v>
      </c>
      <c r="L281">
        <v>16</v>
      </c>
      <c r="M281" t="s">
        <v>14</v>
      </c>
      <c r="N281">
        <v>50</v>
      </c>
      <c r="O281">
        <v>-2.0966999999999998</v>
      </c>
      <c r="P281">
        <v>100.66500000000001</v>
      </c>
      <c r="Q281" t="s">
        <v>552</v>
      </c>
      <c r="S281" t="s">
        <v>77</v>
      </c>
      <c r="U281" t="str">
        <f t="shared" si="12"/>
        <v>N km direction of city</v>
      </c>
      <c r="V281" t="str">
        <f t="shared" si="13"/>
        <v>mww</v>
      </c>
      <c r="X281">
        <f t="shared" si="14"/>
        <v>2016</v>
      </c>
    </row>
    <row r="282" spans="1:24">
      <c r="A282" t="s">
        <v>553</v>
      </c>
      <c r="B282">
        <v>7.2</v>
      </c>
      <c r="C282" s="1">
        <v>42518.406944444447</v>
      </c>
      <c r="D282">
        <v>1</v>
      </c>
      <c r="E282">
        <v>6</v>
      </c>
      <c r="F282" t="s">
        <v>15</v>
      </c>
      <c r="G282">
        <v>1</v>
      </c>
      <c r="H282">
        <v>798</v>
      </c>
      <c r="I282" t="s">
        <v>46</v>
      </c>
      <c r="J282">
        <v>0</v>
      </c>
      <c r="K282">
        <v>5.8029999999999999</v>
      </c>
      <c r="L282">
        <v>24</v>
      </c>
      <c r="M282" t="s">
        <v>14</v>
      </c>
      <c r="N282">
        <v>78</v>
      </c>
      <c r="O282">
        <v>-56.240900000000003</v>
      </c>
      <c r="P282">
        <v>-26.935300000000002</v>
      </c>
      <c r="Q282" t="s">
        <v>213</v>
      </c>
      <c r="U282" t="str">
        <f t="shared" si="12"/>
        <v>Named-region</v>
      </c>
      <c r="V282" t="str">
        <f t="shared" si="13"/>
        <v>mww</v>
      </c>
      <c r="X282">
        <f t="shared" si="14"/>
        <v>2016</v>
      </c>
    </row>
    <row r="283" spans="1:24">
      <c r="A283" t="s">
        <v>165</v>
      </c>
      <c r="B283">
        <v>6.9</v>
      </c>
      <c r="C283" s="1">
        <v>42518.234722222223</v>
      </c>
      <c r="D283">
        <v>3</v>
      </c>
      <c r="E283">
        <v>3</v>
      </c>
      <c r="F283" t="s">
        <v>15</v>
      </c>
      <c r="G283">
        <v>1</v>
      </c>
      <c r="H283">
        <v>733</v>
      </c>
      <c r="I283" t="s">
        <v>46</v>
      </c>
      <c r="J283">
        <v>0</v>
      </c>
      <c r="K283">
        <v>5.4850000000000003</v>
      </c>
      <c r="L283">
        <v>19</v>
      </c>
      <c r="M283" t="s">
        <v>14</v>
      </c>
      <c r="N283">
        <v>405.69</v>
      </c>
      <c r="O283">
        <v>-21.9724</v>
      </c>
      <c r="P283">
        <v>-178.20400000000001</v>
      </c>
      <c r="U283" t="str">
        <f t="shared" si="12"/>
        <v>Named-region</v>
      </c>
      <c r="V283" t="str">
        <f t="shared" si="13"/>
        <v>mww</v>
      </c>
      <c r="X283">
        <f t="shared" si="14"/>
        <v>2016</v>
      </c>
    </row>
    <row r="284" spans="1:24">
      <c r="A284" t="s">
        <v>554</v>
      </c>
      <c r="B284">
        <v>6.9</v>
      </c>
      <c r="C284" s="1">
        <v>42508.698611111111</v>
      </c>
      <c r="D284">
        <v>8</v>
      </c>
      <c r="E284">
        <v>7</v>
      </c>
      <c r="F284" t="s">
        <v>15</v>
      </c>
      <c r="G284">
        <v>1</v>
      </c>
      <c r="H284">
        <v>780</v>
      </c>
      <c r="I284" t="s">
        <v>46</v>
      </c>
      <c r="J284">
        <v>0</v>
      </c>
      <c r="K284">
        <v>1.1919999999999999</v>
      </c>
      <c r="L284">
        <v>17</v>
      </c>
      <c r="M284" t="s">
        <v>14</v>
      </c>
      <c r="N284">
        <v>29.95</v>
      </c>
      <c r="O284">
        <v>0.49469999999999997</v>
      </c>
      <c r="P284">
        <v>-79.616</v>
      </c>
      <c r="Q284" t="s">
        <v>555</v>
      </c>
      <c r="R284" t="s">
        <v>53</v>
      </c>
      <c r="S284" t="s">
        <v>96</v>
      </c>
      <c r="U284" t="str">
        <f t="shared" si="12"/>
        <v>N km direction of city</v>
      </c>
      <c r="V284" t="str">
        <f t="shared" si="13"/>
        <v>mww</v>
      </c>
      <c r="X284">
        <f t="shared" si="14"/>
        <v>2016</v>
      </c>
    </row>
    <row r="285" spans="1:24">
      <c r="A285" t="s">
        <v>556</v>
      </c>
      <c r="B285">
        <v>6.7</v>
      </c>
      <c r="C285" s="1">
        <v>42508.331250000003</v>
      </c>
      <c r="D285">
        <v>5</v>
      </c>
      <c r="E285">
        <v>7</v>
      </c>
      <c r="F285" t="s">
        <v>15</v>
      </c>
      <c r="G285">
        <v>1</v>
      </c>
      <c r="H285">
        <v>744</v>
      </c>
      <c r="I285" t="s">
        <v>46</v>
      </c>
      <c r="J285">
        <v>0</v>
      </c>
      <c r="K285">
        <v>1.3520000000000001</v>
      </c>
      <c r="L285">
        <v>21</v>
      </c>
      <c r="M285" t="s">
        <v>14</v>
      </c>
      <c r="N285">
        <v>16</v>
      </c>
      <c r="O285">
        <v>0.42609999999999998</v>
      </c>
      <c r="P285">
        <v>-79.789900000000003</v>
      </c>
      <c r="Q285" t="s">
        <v>557</v>
      </c>
      <c r="R285" t="s">
        <v>53</v>
      </c>
      <c r="S285" t="s">
        <v>96</v>
      </c>
      <c r="U285" t="str">
        <f t="shared" si="12"/>
        <v>N km direction of city</v>
      </c>
      <c r="V285" t="str">
        <f t="shared" si="13"/>
        <v>mww</v>
      </c>
      <c r="X285">
        <f t="shared" si="14"/>
        <v>2016</v>
      </c>
    </row>
    <row r="286" spans="1:24">
      <c r="A286" t="s">
        <v>558</v>
      </c>
      <c r="B286">
        <v>7</v>
      </c>
      <c r="C286" s="1">
        <v>42488.814583333333</v>
      </c>
      <c r="D286">
        <v>7</v>
      </c>
      <c r="E286">
        <v>7</v>
      </c>
      <c r="F286" t="s">
        <v>15</v>
      </c>
      <c r="G286">
        <v>1</v>
      </c>
      <c r="H286">
        <v>755</v>
      </c>
      <c r="I286" t="s">
        <v>46</v>
      </c>
      <c r="J286">
        <v>0</v>
      </c>
      <c r="K286">
        <v>0.61599999999999999</v>
      </c>
      <c r="L286">
        <v>14</v>
      </c>
      <c r="M286" t="s">
        <v>14</v>
      </c>
      <c r="N286">
        <v>24</v>
      </c>
      <c r="O286">
        <v>-16.042899999999999</v>
      </c>
      <c r="P286">
        <v>167.37899999999999</v>
      </c>
      <c r="Q286" t="s">
        <v>559</v>
      </c>
      <c r="S286" t="s">
        <v>48</v>
      </c>
      <c r="U286" t="str">
        <f t="shared" si="12"/>
        <v>N km direction of city</v>
      </c>
      <c r="V286" t="str">
        <f t="shared" si="13"/>
        <v>mww</v>
      </c>
      <c r="X286">
        <f t="shared" si="14"/>
        <v>2016</v>
      </c>
    </row>
    <row r="287" spans="1:24">
      <c r="A287" t="s">
        <v>560</v>
      </c>
      <c r="B287">
        <v>7.8</v>
      </c>
      <c r="C287" s="1">
        <v>42476.998611111107</v>
      </c>
      <c r="D287">
        <v>9</v>
      </c>
      <c r="E287">
        <v>9</v>
      </c>
      <c r="F287" t="s">
        <v>16</v>
      </c>
      <c r="G287">
        <v>1</v>
      </c>
      <c r="H287">
        <v>1163</v>
      </c>
      <c r="I287" t="s">
        <v>46</v>
      </c>
      <c r="J287">
        <v>0</v>
      </c>
      <c r="K287">
        <v>1.44</v>
      </c>
      <c r="L287">
        <v>15</v>
      </c>
      <c r="M287" t="s">
        <v>14</v>
      </c>
      <c r="N287">
        <v>20.59</v>
      </c>
      <c r="O287">
        <v>0.38190000000000002</v>
      </c>
      <c r="P287">
        <v>-79.921800000000005</v>
      </c>
      <c r="Q287" t="s">
        <v>557</v>
      </c>
      <c r="R287" t="s">
        <v>53</v>
      </c>
      <c r="S287" t="s">
        <v>96</v>
      </c>
      <c r="U287" t="str">
        <f t="shared" si="12"/>
        <v>N km direction of city</v>
      </c>
      <c r="V287" t="str">
        <f t="shared" si="13"/>
        <v>mww</v>
      </c>
      <c r="X287">
        <f t="shared" si="14"/>
        <v>2016</v>
      </c>
    </row>
    <row r="288" spans="1:24">
      <c r="A288" t="s">
        <v>561</v>
      </c>
      <c r="B288">
        <v>7</v>
      </c>
      <c r="C288" s="1">
        <v>42475.684027777781</v>
      </c>
      <c r="D288">
        <v>9</v>
      </c>
      <c r="E288">
        <v>9</v>
      </c>
      <c r="F288" t="s">
        <v>17</v>
      </c>
      <c r="G288">
        <v>1</v>
      </c>
      <c r="H288">
        <v>2074</v>
      </c>
      <c r="I288" t="s">
        <v>46</v>
      </c>
      <c r="J288">
        <v>0</v>
      </c>
      <c r="K288">
        <v>0.34899999999999998</v>
      </c>
      <c r="L288">
        <v>32</v>
      </c>
      <c r="M288" t="s">
        <v>14</v>
      </c>
      <c r="N288">
        <v>10</v>
      </c>
      <c r="O288">
        <v>32.790599999999998</v>
      </c>
      <c r="P288">
        <v>130.75399999999999</v>
      </c>
      <c r="Q288" t="s">
        <v>562</v>
      </c>
      <c r="R288" t="s">
        <v>85</v>
      </c>
      <c r="S288" t="s">
        <v>243</v>
      </c>
      <c r="U288" t="str">
        <f t="shared" si="12"/>
        <v>N km direction of city</v>
      </c>
      <c r="V288" t="str">
        <f t="shared" si="13"/>
        <v>mww</v>
      </c>
      <c r="X288">
        <f t="shared" si="14"/>
        <v>2016</v>
      </c>
    </row>
    <row r="289" spans="1:24">
      <c r="A289" t="s">
        <v>563</v>
      </c>
      <c r="B289">
        <v>6.9</v>
      </c>
      <c r="C289" s="1">
        <v>42473.579861111109</v>
      </c>
      <c r="D289">
        <v>6</v>
      </c>
      <c r="E289">
        <v>6</v>
      </c>
      <c r="F289" t="s">
        <v>18</v>
      </c>
      <c r="G289">
        <v>0</v>
      </c>
      <c r="H289">
        <v>903</v>
      </c>
      <c r="I289" t="s">
        <v>46</v>
      </c>
      <c r="J289">
        <v>0</v>
      </c>
      <c r="K289">
        <v>3.0009999999999999</v>
      </c>
      <c r="L289">
        <v>14</v>
      </c>
      <c r="M289" t="s">
        <v>14</v>
      </c>
      <c r="N289">
        <v>136</v>
      </c>
      <c r="O289">
        <v>23.0944</v>
      </c>
      <c r="P289">
        <v>94.865399999999994</v>
      </c>
      <c r="Q289" t="s">
        <v>564</v>
      </c>
      <c r="R289" t="s">
        <v>85</v>
      </c>
      <c r="S289" t="s">
        <v>547</v>
      </c>
      <c r="U289" t="str">
        <f t="shared" si="12"/>
        <v>N km direction of city</v>
      </c>
      <c r="V289" t="str">
        <f t="shared" si="13"/>
        <v>mww</v>
      </c>
      <c r="X289">
        <f t="shared" si="14"/>
        <v>2016</v>
      </c>
    </row>
    <row r="290" spans="1:24">
      <c r="A290" t="s">
        <v>565</v>
      </c>
      <c r="B290">
        <v>6.6</v>
      </c>
      <c r="C290" s="1">
        <v>42470.436111111107</v>
      </c>
      <c r="D290">
        <v>6</v>
      </c>
      <c r="E290">
        <v>4</v>
      </c>
      <c r="F290" t="s">
        <v>15</v>
      </c>
      <c r="G290">
        <v>0</v>
      </c>
      <c r="H290">
        <v>738</v>
      </c>
      <c r="I290" t="s">
        <v>46</v>
      </c>
      <c r="J290">
        <v>0</v>
      </c>
      <c r="K290">
        <v>0.78900000000000003</v>
      </c>
      <c r="L290">
        <v>17</v>
      </c>
      <c r="M290" t="s">
        <v>14</v>
      </c>
      <c r="N290">
        <v>212</v>
      </c>
      <c r="O290">
        <v>36.472499999999997</v>
      </c>
      <c r="P290">
        <v>71.131100000000004</v>
      </c>
      <c r="Q290" t="s">
        <v>566</v>
      </c>
      <c r="R290" t="s">
        <v>85</v>
      </c>
      <c r="S290" t="s">
        <v>94</v>
      </c>
      <c r="U290" t="str">
        <f t="shared" si="12"/>
        <v>N km direction of city</v>
      </c>
      <c r="V290" t="str">
        <f t="shared" si="13"/>
        <v>mww</v>
      </c>
      <c r="X290">
        <f t="shared" si="14"/>
        <v>2016</v>
      </c>
    </row>
    <row r="291" spans="1:24">
      <c r="A291" t="s">
        <v>567</v>
      </c>
      <c r="B291">
        <v>6.7</v>
      </c>
      <c r="C291" s="1">
        <v>42467.147222222222</v>
      </c>
      <c r="D291">
        <v>7</v>
      </c>
      <c r="E291">
        <v>5</v>
      </c>
      <c r="F291" t="s">
        <v>15</v>
      </c>
      <c r="G291">
        <v>1</v>
      </c>
      <c r="H291">
        <v>692</v>
      </c>
      <c r="I291" t="s">
        <v>46</v>
      </c>
      <c r="J291">
        <v>0</v>
      </c>
      <c r="K291">
        <v>6.7869999999999999</v>
      </c>
      <c r="L291">
        <v>25</v>
      </c>
      <c r="M291" t="s">
        <v>14</v>
      </c>
      <c r="N291">
        <v>27.59</v>
      </c>
      <c r="O291">
        <v>-13.980499999999999</v>
      </c>
      <c r="P291">
        <v>166.59399999999999</v>
      </c>
      <c r="Q291" t="s">
        <v>47</v>
      </c>
      <c r="S291" t="s">
        <v>48</v>
      </c>
      <c r="U291" t="str">
        <f t="shared" si="12"/>
        <v>N km direction of city</v>
      </c>
      <c r="V291" t="str">
        <f t="shared" si="13"/>
        <v>mww</v>
      </c>
      <c r="X291">
        <f t="shared" si="14"/>
        <v>2016</v>
      </c>
    </row>
    <row r="292" spans="1:24">
      <c r="A292" t="s">
        <v>568</v>
      </c>
      <c r="B292">
        <v>6.7</v>
      </c>
      <c r="C292" s="1">
        <v>42466.290277777778</v>
      </c>
      <c r="D292">
        <v>7</v>
      </c>
      <c r="E292">
        <v>6</v>
      </c>
      <c r="F292" t="s">
        <v>15</v>
      </c>
      <c r="G292">
        <v>1</v>
      </c>
      <c r="H292">
        <v>691</v>
      </c>
      <c r="I292" t="s">
        <v>46</v>
      </c>
      <c r="J292">
        <v>0</v>
      </c>
      <c r="K292">
        <v>6.6970000000000001</v>
      </c>
      <c r="L292">
        <v>19</v>
      </c>
      <c r="M292" t="s">
        <v>14</v>
      </c>
      <c r="N292">
        <v>24</v>
      </c>
      <c r="O292">
        <v>-14.068300000000001</v>
      </c>
      <c r="P292">
        <v>166.624</v>
      </c>
      <c r="Q292" t="s">
        <v>47</v>
      </c>
      <c r="S292" t="s">
        <v>48</v>
      </c>
      <c r="U292" t="str">
        <f t="shared" si="12"/>
        <v>N km direction of city</v>
      </c>
      <c r="V292" t="str">
        <f t="shared" si="13"/>
        <v>mww</v>
      </c>
      <c r="X292">
        <f t="shared" si="14"/>
        <v>2016</v>
      </c>
    </row>
    <row r="293" spans="1:24">
      <c r="A293" t="s">
        <v>569</v>
      </c>
      <c r="B293">
        <v>6.9</v>
      </c>
      <c r="C293" s="1">
        <v>42463.349305555559</v>
      </c>
      <c r="D293">
        <v>7</v>
      </c>
      <c r="E293">
        <v>6</v>
      </c>
      <c r="F293" t="s">
        <v>15</v>
      </c>
      <c r="G293">
        <v>1</v>
      </c>
      <c r="H293">
        <v>734</v>
      </c>
      <c r="I293" t="s">
        <v>46</v>
      </c>
      <c r="J293">
        <v>0</v>
      </c>
      <c r="K293">
        <v>1.1659999999999999</v>
      </c>
      <c r="L293">
        <v>25</v>
      </c>
      <c r="M293" t="s">
        <v>14</v>
      </c>
      <c r="N293">
        <v>26</v>
      </c>
      <c r="O293">
        <v>-14.323499999999999</v>
      </c>
      <c r="P293">
        <v>166.85499999999999</v>
      </c>
      <c r="Q293" t="s">
        <v>101</v>
      </c>
      <c r="S293" t="s">
        <v>48</v>
      </c>
      <c r="U293" t="str">
        <f t="shared" si="12"/>
        <v>N km direction of city</v>
      </c>
      <c r="V293" t="str">
        <f t="shared" si="13"/>
        <v>mww</v>
      </c>
      <c r="X293">
        <f t="shared" si="14"/>
        <v>2016</v>
      </c>
    </row>
    <row r="294" spans="1:24">
      <c r="A294" t="s">
        <v>570</v>
      </c>
      <c r="B294">
        <v>7.8</v>
      </c>
      <c r="C294" s="1">
        <v>42431.53402777778</v>
      </c>
      <c r="D294">
        <v>4</v>
      </c>
      <c r="E294">
        <v>3</v>
      </c>
      <c r="F294" t="s">
        <v>15</v>
      </c>
      <c r="G294">
        <v>0</v>
      </c>
      <c r="H294">
        <v>948</v>
      </c>
      <c r="I294" t="s">
        <v>46</v>
      </c>
      <c r="J294">
        <v>0</v>
      </c>
      <c r="K294">
        <v>7.0090000000000003</v>
      </c>
      <c r="L294">
        <v>20</v>
      </c>
      <c r="M294" t="s">
        <v>14</v>
      </c>
      <c r="N294">
        <v>24</v>
      </c>
      <c r="O294">
        <v>-4.9520999999999997</v>
      </c>
      <c r="P294">
        <v>94.329899999999995</v>
      </c>
      <c r="Q294" t="s">
        <v>571</v>
      </c>
      <c r="U294" t="str">
        <f t="shared" si="12"/>
        <v>Named-region</v>
      </c>
      <c r="V294" t="str">
        <f t="shared" si="13"/>
        <v>mww</v>
      </c>
      <c r="X294">
        <f t="shared" si="14"/>
        <v>2016</v>
      </c>
    </row>
    <row r="295" spans="1:24">
      <c r="A295" t="s">
        <v>572</v>
      </c>
      <c r="B295">
        <v>7.2</v>
      </c>
      <c r="C295" s="1">
        <v>42399.142361111109</v>
      </c>
      <c r="D295">
        <v>3</v>
      </c>
      <c r="E295">
        <v>7</v>
      </c>
      <c r="F295" t="s">
        <v>15</v>
      </c>
      <c r="G295">
        <v>1</v>
      </c>
      <c r="H295">
        <v>799</v>
      </c>
      <c r="I295" t="s">
        <v>46</v>
      </c>
      <c r="J295">
        <v>0</v>
      </c>
      <c r="K295">
        <v>0.95799999999999996</v>
      </c>
      <c r="L295">
        <v>17</v>
      </c>
      <c r="M295" t="s">
        <v>14</v>
      </c>
      <c r="N295">
        <v>177</v>
      </c>
      <c r="O295">
        <v>53.977600000000002</v>
      </c>
      <c r="P295">
        <v>158.54599999999999</v>
      </c>
      <c r="Q295" t="s">
        <v>573</v>
      </c>
      <c r="R295" t="s">
        <v>85</v>
      </c>
      <c r="S295" t="s">
        <v>310</v>
      </c>
      <c r="U295" t="str">
        <f t="shared" si="12"/>
        <v>N km direction of city</v>
      </c>
      <c r="V295" t="str">
        <f t="shared" si="13"/>
        <v>mww</v>
      </c>
      <c r="X295">
        <f t="shared" si="14"/>
        <v>2016</v>
      </c>
    </row>
    <row r="296" spans="1:24">
      <c r="A296" t="s">
        <v>574</v>
      </c>
      <c r="B296">
        <v>7.1</v>
      </c>
      <c r="C296" s="1">
        <v>42393.4375</v>
      </c>
      <c r="D296">
        <v>7</v>
      </c>
      <c r="E296">
        <v>7</v>
      </c>
      <c r="F296" t="s">
        <v>15</v>
      </c>
      <c r="G296">
        <v>1</v>
      </c>
      <c r="H296">
        <v>1496</v>
      </c>
      <c r="I296" t="s">
        <v>202</v>
      </c>
      <c r="J296">
        <v>0</v>
      </c>
      <c r="K296">
        <v>0</v>
      </c>
      <c r="L296">
        <v>0</v>
      </c>
      <c r="M296" t="s">
        <v>11</v>
      </c>
      <c r="N296">
        <v>125.6</v>
      </c>
      <c r="O296">
        <v>59.620399999999997</v>
      </c>
      <c r="P296">
        <v>-153.339</v>
      </c>
      <c r="Q296" t="s">
        <v>575</v>
      </c>
      <c r="R296" t="s">
        <v>139</v>
      </c>
      <c r="S296" t="s">
        <v>204</v>
      </c>
      <c r="U296" t="str">
        <f t="shared" si="12"/>
        <v>N km direction of city</v>
      </c>
      <c r="V296" t="str">
        <f t="shared" si="13"/>
        <v>mw</v>
      </c>
      <c r="X296">
        <f t="shared" si="14"/>
        <v>2016</v>
      </c>
    </row>
    <row r="297" spans="1:24">
      <c r="A297" t="s">
        <v>576</v>
      </c>
      <c r="B297">
        <v>6.6</v>
      </c>
      <c r="C297" s="1">
        <v>42390.754166666673</v>
      </c>
      <c r="D297">
        <v>3</v>
      </c>
      <c r="E297">
        <v>4</v>
      </c>
      <c r="F297" t="s">
        <v>15</v>
      </c>
      <c r="G297">
        <v>1</v>
      </c>
      <c r="H297">
        <v>673</v>
      </c>
      <c r="I297" t="s">
        <v>46</v>
      </c>
      <c r="J297">
        <v>0</v>
      </c>
      <c r="K297">
        <v>2.4129999999999998</v>
      </c>
      <c r="L297">
        <v>74</v>
      </c>
      <c r="M297" t="s">
        <v>14</v>
      </c>
      <c r="N297">
        <v>10</v>
      </c>
      <c r="O297">
        <v>18.823899999999998</v>
      </c>
      <c r="P297">
        <v>-106.934</v>
      </c>
      <c r="Q297" t="s">
        <v>577</v>
      </c>
      <c r="U297" t="str">
        <f t="shared" si="12"/>
        <v>N km direction of city</v>
      </c>
      <c r="V297" t="str">
        <f t="shared" si="13"/>
        <v>mww</v>
      </c>
      <c r="X297">
        <f t="shared" si="14"/>
        <v>2016</v>
      </c>
    </row>
    <row r="298" spans="1:24">
      <c r="A298" t="s">
        <v>578</v>
      </c>
      <c r="B298">
        <v>6.7</v>
      </c>
      <c r="C298" s="1">
        <v>42383.142361111109</v>
      </c>
      <c r="D298">
        <v>5</v>
      </c>
      <c r="E298">
        <v>6</v>
      </c>
      <c r="F298" t="s">
        <v>15</v>
      </c>
      <c r="G298">
        <v>1</v>
      </c>
      <c r="H298">
        <v>717</v>
      </c>
      <c r="I298" t="s">
        <v>46</v>
      </c>
      <c r="J298">
        <v>0</v>
      </c>
      <c r="K298">
        <v>0.28100000000000003</v>
      </c>
      <c r="L298">
        <v>22</v>
      </c>
      <c r="M298" t="s">
        <v>14</v>
      </c>
      <c r="N298">
        <v>46</v>
      </c>
      <c r="O298">
        <v>41.972299999999997</v>
      </c>
      <c r="P298">
        <v>142.78100000000001</v>
      </c>
      <c r="Q298" t="s">
        <v>579</v>
      </c>
      <c r="R298" t="s">
        <v>85</v>
      </c>
      <c r="S298" t="s">
        <v>243</v>
      </c>
      <c r="U298" t="str">
        <f t="shared" si="12"/>
        <v>N km direction of city</v>
      </c>
      <c r="V298" t="str">
        <f t="shared" si="13"/>
        <v>mww</v>
      </c>
      <c r="X298">
        <f t="shared" si="14"/>
        <v>2016</v>
      </c>
    </row>
    <row r="299" spans="1:24">
      <c r="A299" t="s">
        <v>580</v>
      </c>
      <c r="B299">
        <v>6.5</v>
      </c>
      <c r="C299" s="1">
        <v>42380.693055555559</v>
      </c>
      <c r="D299">
        <v>3</v>
      </c>
      <c r="E299">
        <v>6</v>
      </c>
      <c r="F299" t="s">
        <v>15</v>
      </c>
      <c r="G299">
        <v>1</v>
      </c>
      <c r="H299">
        <v>651</v>
      </c>
      <c r="I299" t="s">
        <v>46</v>
      </c>
      <c r="J299">
        <v>0</v>
      </c>
      <c r="K299">
        <v>3.1440000000000001</v>
      </c>
      <c r="L299">
        <v>22</v>
      </c>
      <c r="M299" t="s">
        <v>14</v>
      </c>
      <c r="N299">
        <v>13</v>
      </c>
      <c r="O299">
        <v>3.8965000000000001</v>
      </c>
      <c r="P299">
        <v>126.86199999999999</v>
      </c>
      <c r="Q299" t="s">
        <v>581</v>
      </c>
      <c r="S299" t="s">
        <v>77</v>
      </c>
      <c r="U299" t="str">
        <f t="shared" si="12"/>
        <v>N km direction of city</v>
      </c>
      <c r="V299" t="str">
        <f t="shared" si="13"/>
        <v>mww</v>
      </c>
      <c r="X299">
        <f t="shared" si="14"/>
        <v>2016</v>
      </c>
    </row>
    <row r="300" spans="1:24">
      <c r="A300" t="s">
        <v>582</v>
      </c>
      <c r="B300">
        <v>6.7</v>
      </c>
      <c r="C300" s="1">
        <v>42372.961805555547</v>
      </c>
      <c r="D300">
        <v>8</v>
      </c>
      <c r="E300">
        <v>7</v>
      </c>
      <c r="F300" t="s">
        <v>16</v>
      </c>
      <c r="G300">
        <v>0</v>
      </c>
      <c r="H300">
        <v>1515</v>
      </c>
      <c r="I300" t="s">
        <v>46</v>
      </c>
      <c r="J300">
        <v>0</v>
      </c>
      <c r="K300">
        <v>1.794</v>
      </c>
      <c r="L300">
        <v>16</v>
      </c>
      <c r="M300" t="s">
        <v>14</v>
      </c>
      <c r="N300">
        <v>55</v>
      </c>
      <c r="O300">
        <v>24.803599999999999</v>
      </c>
      <c r="P300">
        <v>93.650499999999994</v>
      </c>
      <c r="Q300" t="s">
        <v>583</v>
      </c>
      <c r="R300" t="s">
        <v>85</v>
      </c>
      <c r="S300" t="s">
        <v>584</v>
      </c>
      <c r="U300" t="str">
        <f t="shared" si="12"/>
        <v>N km direction of city</v>
      </c>
      <c r="V300" t="str">
        <f t="shared" si="13"/>
        <v>mww</v>
      </c>
      <c r="X300">
        <f t="shared" si="14"/>
        <v>2016</v>
      </c>
    </row>
    <row r="301" spans="1:24">
      <c r="A301" t="s">
        <v>585</v>
      </c>
      <c r="B301">
        <v>6.6</v>
      </c>
      <c r="C301" s="1">
        <v>42355.825694444437</v>
      </c>
      <c r="D301">
        <v>8</v>
      </c>
      <c r="E301">
        <v>6</v>
      </c>
      <c r="F301" t="s">
        <v>15</v>
      </c>
      <c r="G301">
        <v>1</v>
      </c>
      <c r="H301">
        <v>765</v>
      </c>
      <c r="I301" t="s">
        <v>46</v>
      </c>
      <c r="J301">
        <v>0</v>
      </c>
      <c r="K301">
        <v>0.41</v>
      </c>
      <c r="L301">
        <v>35</v>
      </c>
      <c r="M301" t="s">
        <v>14</v>
      </c>
      <c r="N301">
        <v>85</v>
      </c>
      <c r="O301">
        <v>15.801500000000001</v>
      </c>
      <c r="P301">
        <v>-93.632999999999996</v>
      </c>
      <c r="Q301" t="s">
        <v>586</v>
      </c>
      <c r="S301" t="s">
        <v>140</v>
      </c>
      <c r="U301" t="str">
        <f t="shared" si="12"/>
        <v>N km direction of city</v>
      </c>
      <c r="V301" t="str">
        <f t="shared" si="13"/>
        <v>mww</v>
      </c>
      <c r="X301">
        <f t="shared" si="14"/>
        <v>2015</v>
      </c>
    </row>
    <row r="302" spans="1:24">
      <c r="A302" t="s">
        <v>587</v>
      </c>
      <c r="B302">
        <v>6.9</v>
      </c>
      <c r="C302" s="1">
        <v>42347.431250000001</v>
      </c>
      <c r="D302">
        <v>8</v>
      </c>
      <c r="E302">
        <v>5</v>
      </c>
      <c r="F302" t="s">
        <v>15</v>
      </c>
      <c r="G302">
        <v>0</v>
      </c>
      <c r="H302">
        <v>738</v>
      </c>
      <c r="I302" t="s">
        <v>46</v>
      </c>
      <c r="J302">
        <v>0</v>
      </c>
      <c r="K302">
        <v>2.9790000000000001</v>
      </c>
      <c r="L302">
        <v>14</v>
      </c>
      <c r="M302" t="s">
        <v>14</v>
      </c>
      <c r="N302">
        <v>21</v>
      </c>
      <c r="O302">
        <v>-4.1063999999999998</v>
      </c>
      <c r="P302">
        <v>129.50800000000001</v>
      </c>
      <c r="Q302" t="s">
        <v>588</v>
      </c>
      <c r="S302" t="s">
        <v>77</v>
      </c>
      <c r="U302" t="str">
        <f t="shared" si="12"/>
        <v>N km direction of city</v>
      </c>
      <c r="V302" t="str">
        <f t="shared" si="13"/>
        <v>mww</v>
      </c>
      <c r="X302">
        <f t="shared" si="14"/>
        <v>2015</v>
      </c>
    </row>
    <row r="303" spans="1:24">
      <c r="A303" t="s">
        <v>589</v>
      </c>
      <c r="B303">
        <v>7.2</v>
      </c>
      <c r="C303" s="1">
        <v>42345.326388888891</v>
      </c>
      <c r="D303">
        <v>4</v>
      </c>
      <c r="E303">
        <v>7</v>
      </c>
      <c r="F303" t="s">
        <v>15</v>
      </c>
      <c r="G303">
        <v>0</v>
      </c>
      <c r="H303">
        <v>827</v>
      </c>
      <c r="I303" t="s">
        <v>46</v>
      </c>
      <c r="J303">
        <v>0</v>
      </c>
      <c r="K303">
        <v>1.1160000000000001</v>
      </c>
      <c r="L303">
        <v>18</v>
      </c>
      <c r="M303" t="s">
        <v>14</v>
      </c>
      <c r="N303">
        <v>22</v>
      </c>
      <c r="O303">
        <v>38.210700000000003</v>
      </c>
      <c r="P303">
        <v>72.779700000000005</v>
      </c>
      <c r="Q303" t="s">
        <v>105</v>
      </c>
      <c r="R303" t="s">
        <v>85</v>
      </c>
      <c r="S303" t="s">
        <v>106</v>
      </c>
      <c r="U303" t="str">
        <f t="shared" si="12"/>
        <v>N km direction of city</v>
      </c>
      <c r="V303" t="str">
        <f t="shared" si="13"/>
        <v>mww</v>
      </c>
      <c r="X303">
        <f t="shared" si="14"/>
        <v>2015</v>
      </c>
    </row>
    <row r="304" spans="1:24">
      <c r="A304" t="s">
        <v>590</v>
      </c>
      <c r="B304">
        <v>6.7</v>
      </c>
      <c r="C304" s="1">
        <v>42334.239583333343</v>
      </c>
      <c r="D304">
        <v>2</v>
      </c>
      <c r="E304">
        <v>3</v>
      </c>
      <c r="F304" t="s">
        <v>15</v>
      </c>
      <c r="G304">
        <v>0</v>
      </c>
      <c r="H304">
        <v>691</v>
      </c>
      <c r="I304" t="s">
        <v>46</v>
      </c>
      <c r="J304">
        <v>0</v>
      </c>
      <c r="K304">
        <v>2.0329999999999999</v>
      </c>
      <c r="L304">
        <v>19</v>
      </c>
      <c r="M304" t="s">
        <v>14</v>
      </c>
      <c r="N304">
        <v>602.75</v>
      </c>
      <c r="O304">
        <v>-9.1824999999999992</v>
      </c>
      <c r="P304">
        <v>-71.257400000000004</v>
      </c>
      <c r="Q304" t="s">
        <v>160</v>
      </c>
      <c r="R304" t="s">
        <v>53</v>
      </c>
      <c r="S304" t="s">
        <v>161</v>
      </c>
      <c r="U304" t="str">
        <f t="shared" si="12"/>
        <v>N km direction of city</v>
      </c>
      <c r="V304" t="str">
        <f t="shared" si="13"/>
        <v>mww</v>
      </c>
      <c r="X304">
        <f t="shared" si="14"/>
        <v>2015</v>
      </c>
    </row>
    <row r="305" spans="1:24">
      <c r="A305" t="s">
        <v>591</v>
      </c>
      <c r="B305">
        <v>7.6</v>
      </c>
      <c r="C305" s="1">
        <v>42332.951388888891</v>
      </c>
      <c r="D305">
        <v>5</v>
      </c>
      <c r="E305">
        <v>4</v>
      </c>
      <c r="F305" t="s">
        <v>15</v>
      </c>
      <c r="G305">
        <v>0</v>
      </c>
      <c r="H305">
        <v>896</v>
      </c>
      <c r="I305" t="s">
        <v>46</v>
      </c>
      <c r="J305">
        <v>0</v>
      </c>
      <c r="K305">
        <v>2.8519999999999999</v>
      </c>
      <c r="L305">
        <v>10</v>
      </c>
      <c r="M305" t="s">
        <v>14</v>
      </c>
      <c r="N305">
        <v>620.55999999999995</v>
      </c>
      <c r="O305">
        <v>-10.059799999999999</v>
      </c>
      <c r="P305">
        <v>-71.0184</v>
      </c>
      <c r="Q305" t="s">
        <v>412</v>
      </c>
      <c r="R305" t="s">
        <v>53</v>
      </c>
      <c r="S305" t="s">
        <v>164</v>
      </c>
      <c r="U305" t="str">
        <f t="shared" si="12"/>
        <v>N km direction of city</v>
      </c>
      <c r="V305" t="str">
        <f t="shared" si="13"/>
        <v>mww</v>
      </c>
      <c r="X305">
        <f t="shared" si="14"/>
        <v>2015</v>
      </c>
    </row>
    <row r="306" spans="1:24">
      <c r="A306" t="s">
        <v>592</v>
      </c>
      <c r="B306">
        <v>7.6</v>
      </c>
      <c r="C306" s="1">
        <v>42332.947916666657</v>
      </c>
      <c r="D306">
        <v>6</v>
      </c>
      <c r="E306">
        <v>5</v>
      </c>
      <c r="F306" t="s">
        <v>15</v>
      </c>
      <c r="G306">
        <v>1</v>
      </c>
      <c r="H306">
        <v>957</v>
      </c>
      <c r="I306" t="s">
        <v>46</v>
      </c>
      <c r="J306">
        <v>0</v>
      </c>
      <c r="K306">
        <v>3.2869999999999999</v>
      </c>
      <c r="L306">
        <v>10</v>
      </c>
      <c r="M306" t="s">
        <v>14</v>
      </c>
      <c r="N306">
        <v>606.21</v>
      </c>
      <c r="O306">
        <v>-10.5372</v>
      </c>
      <c r="P306">
        <v>-70.943700000000007</v>
      </c>
      <c r="Q306" t="s">
        <v>412</v>
      </c>
      <c r="R306" t="s">
        <v>53</v>
      </c>
      <c r="S306" t="s">
        <v>164</v>
      </c>
      <c r="U306" t="str">
        <f t="shared" si="12"/>
        <v>N km direction of city</v>
      </c>
      <c r="V306" t="str">
        <f t="shared" si="13"/>
        <v>mww</v>
      </c>
      <c r="X306">
        <f t="shared" si="14"/>
        <v>2015</v>
      </c>
    </row>
    <row r="307" spans="1:24">
      <c r="A307" t="s">
        <v>593</v>
      </c>
      <c r="B307">
        <v>6.8</v>
      </c>
      <c r="C307" s="1">
        <v>42326.771527777782</v>
      </c>
      <c r="D307">
        <v>5</v>
      </c>
      <c r="E307">
        <v>6</v>
      </c>
      <c r="F307" t="s">
        <v>15</v>
      </c>
      <c r="G307">
        <v>1</v>
      </c>
      <c r="H307">
        <v>715</v>
      </c>
      <c r="I307" t="s">
        <v>46</v>
      </c>
      <c r="J307">
        <v>0</v>
      </c>
      <c r="K307">
        <v>1.599</v>
      </c>
      <c r="L307">
        <v>19</v>
      </c>
      <c r="M307" t="s">
        <v>14</v>
      </c>
      <c r="N307">
        <v>12.59</v>
      </c>
      <c r="O307">
        <v>-8.8994</v>
      </c>
      <c r="P307">
        <v>158.422</v>
      </c>
      <c r="Q307" t="s">
        <v>594</v>
      </c>
      <c r="S307" t="s">
        <v>124</v>
      </c>
      <c r="U307" t="str">
        <f t="shared" si="12"/>
        <v>N km direction of city</v>
      </c>
      <c r="V307" t="str">
        <f t="shared" si="13"/>
        <v>mww</v>
      </c>
      <c r="X307">
        <f t="shared" si="14"/>
        <v>2015</v>
      </c>
    </row>
    <row r="308" spans="1:24">
      <c r="A308" t="s">
        <v>595</v>
      </c>
      <c r="B308">
        <v>6.5</v>
      </c>
      <c r="C308" s="1">
        <v>42325.298611111109</v>
      </c>
      <c r="D308">
        <v>7</v>
      </c>
      <c r="E308">
        <v>7</v>
      </c>
      <c r="F308" t="s">
        <v>16</v>
      </c>
      <c r="G308">
        <v>0</v>
      </c>
      <c r="H308">
        <v>1018</v>
      </c>
      <c r="I308" t="s">
        <v>46</v>
      </c>
      <c r="J308">
        <v>0</v>
      </c>
      <c r="K308">
        <v>0</v>
      </c>
      <c r="L308">
        <v>0</v>
      </c>
      <c r="M308" t="s">
        <v>14</v>
      </c>
      <c r="N308">
        <v>11</v>
      </c>
      <c r="O308">
        <v>38.67</v>
      </c>
      <c r="P308">
        <v>20.6</v>
      </c>
      <c r="Q308" t="s">
        <v>596</v>
      </c>
      <c r="R308" t="s">
        <v>267</v>
      </c>
      <c r="S308" t="s">
        <v>268</v>
      </c>
      <c r="U308" t="str">
        <f t="shared" si="12"/>
        <v>N km direction of city</v>
      </c>
      <c r="V308" t="str">
        <f t="shared" si="13"/>
        <v>mww</v>
      </c>
      <c r="X308">
        <f t="shared" si="14"/>
        <v>2015</v>
      </c>
    </row>
    <row r="309" spans="1:24">
      <c r="A309" t="s">
        <v>597</v>
      </c>
      <c r="B309">
        <v>6.7</v>
      </c>
      <c r="C309" s="1">
        <v>42321.868750000001</v>
      </c>
      <c r="D309">
        <v>5</v>
      </c>
      <c r="E309">
        <v>4</v>
      </c>
      <c r="F309" t="s">
        <v>15</v>
      </c>
      <c r="G309">
        <v>0</v>
      </c>
      <c r="H309">
        <v>702</v>
      </c>
      <c r="I309" t="s">
        <v>46</v>
      </c>
      <c r="J309">
        <v>0</v>
      </c>
      <c r="K309">
        <v>1.444</v>
      </c>
      <c r="L309">
        <v>17</v>
      </c>
      <c r="M309" t="s">
        <v>14</v>
      </c>
      <c r="N309">
        <v>12</v>
      </c>
      <c r="O309">
        <v>31.000900000000001</v>
      </c>
      <c r="P309">
        <v>128.87299999999999</v>
      </c>
      <c r="Q309" t="s">
        <v>598</v>
      </c>
      <c r="U309" t="str">
        <f t="shared" si="12"/>
        <v>N km direction of city</v>
      </c>
      <c r="V309" t="str">
        <f t="shared" si="13"/>
        <v>mww</v>
      </c>
      <c r="X309">
        <f t="shared" si="14"/>
        <v>2015</v>
      </c>
    </row>
    <row r="310" spans="1:24">
      <c r="A310" t="s">
        <v>599</v>
      </c>
      <c r="B310">
        <v>6.9</v>
      </c>
      <c r="C310" s="1">
        <v>42319.115277777782</v>
      </c>
      <c r="D310">
        <v>5</v>
      </c>
      <c r="E310">
        <v>6</v>
      </c>
      <c r="F310" t="s">
        <v>15</v>
      </c>
      <c r="G310">
        <v>0</v>
      </c>
      <c r="H310">
        <v>744</v>
      </c>
      <c r="I310" t="s">
        <v>46</v>
      </c>
      <c r="J310">
        <v>0</v>
      </c>
      <c r="K310">
        <v>0.82099999999999995</v>
      </c>
      <c r="L310">
        <v>43</v>
      </c>
      <c r="M310" t="s">
        <v>14</v>
      </c>
      <c r="N310">
        <v>10</v>
      </c>
      <c r="O310">
        <v>-29.509699999999999</v>
      </c>
      <c r="P310">
        <v>-72.058499999999995</v>
      </c>
      <c r="Q310" t="s">
        <v>372</v>
      </c>
      <c r="U310" t="str">
        <f t="shared" si="12"/>
        <v>N km direction of city</v>
      </c>
      <c r="V310" t="str">
        <f t="shared" si="13"/>
        <v>mww</v>
      </c>
      <c r="X310">
        <f t="shared" si="14"/>
        <v>2015</v>
      </c>
    </row>
    <row r="311" spans="1:24">
      <c r="A311" t="s">
        <v>600</v>
      </c>
      <c r="B311">
        <v>6.9</v>
      </c>
      <c r="C311" s="1">
        <v>42319.07916666667</v>
      </c>
      <c r="D311">
        <v>6</v>
      </c>
      <c r="E311">
        <v>6</v>
      </c>
      <c r="F311" t="s">
        <v>15</v>
      </c>
      <c r="G311">
        <v>1</v>
      </c>
      <c r="H311">
        <v>761</v>
      </c>
      <c r="I311" t="s">
        <v>46</v>
      </c>
      <c r="J311">
        <v>0</v>
      </c>
      <c r="K311">
        <v>0.78400000000000003</v>
      </c>
      <c r="L311">
        <v>32</v>
      </c>
      <c r="M311" t="s">
        <v>14</v>
      </c>
      <c r="N311">
        <v>12</v>
      </c>
      <c r="O311">
        <v>-29.506699999999999</v>
      </c>
      <c r="P311">
        <v>-72.006799999999998</v>
      </c>
      <c r="Q311" t="s">
        <v>372</v>
      </c>
      <c r="U311" t="str">
        <f t="shared" si="12"/>
        <v>N km direction of city</v>
      </c>
      <c r="V311" t="str">
        <f t="shared" si="13"/>
        <v>mww</v>
      </c>
      <c r="X311">
        <f t="shared" si="14"/>
        <v>2015</v>
      </c>
    </row>
    <row r="312" spans="1:24">
      <c r="A312" t="s">
        <v>601</v>
      </c>
      <c r="B312">
        <v>6.6</v>
      </c>
      <c r="C312" s="1">
        <v>42316.699305555558</v>
      </c>
      <c r="D312">
        <v>7</v>
      </c>
      <c r="E312">
        <v>4</v>
      </c>
      <c r="F312" t="s">
        <v>15</v>
      </c>
      <c r="G312">
        <v>0</v>
      </c>
      <c r="H312">
        <v>675</v>
      </c>
      <c r="I312" t="s">
        <v>46</v>
      </c>
      <c r="J312">
        <v>0</v>
      </c>
      <c r="K312">
        <v>2.7919999999999998</v>
      </c>
      <c r="L312">
        <v>31</v>
      </c>
      <c r="M312" t="s">
        <v>14</v>
      </c>
      <c r="N312">
        <v>10</v>
      </c>
      <c r="O312">
        <v>6.8430999999999997</v>
      </c>
      <c r="P312">
        <v>94.647999999999996</v>
      </c>
      <c r="Q312" t="s">
        <v>602</v>
      </c>
      <c r="U312" t="str">
        <f t="shared" si="12"/>
        <v>Named-region</v>
      </c>
      <c r="V312" t="str">
        <f t="shared" si="13"/>
        <v>mww</v>
      </c>
      <c r="X312">
        <f t="shared" si="14"/>
        <v>2015</v>
      </c>
    </row>
    <row r="313" spans="1:24">
      <c r="A313" t="s">
        <v>603</v>
      </c>
      <c r="B313">
        <v>6.8</v>
      </c>
      <c r="C313" s="1">
        <v>42315.313194444447</v>
      </c>
      <c r="D313">
        <v>7</v>
      </c>
      <c r="E313">
        <v>7</v>
      </c>
      <c r="F313" t="s">
        <v>15</v>
      </c>
      <c r="G313">
        <v>1</v>
      </c>
      <c r="H313">
        <v>841</v>
      </c>
      <c r="I313" t="s">
        <v>46</v>
      </c>
      <c r="J313">
        <v>0</v>
      </c>
      <c r="K313">
        <v>0.25800000000000001</v>
      </c>
      <c r="L313">
        <v>41</v>
      </c>
      <c r="M313" t="s">
        <v>14</v>
      </c>
      <c r="N313">
        <v>46</v>
      </c>
      <c r="O313">
        <v>-30.8796</v>
      </c>
      <c r="P313">
        <v>-71.451899999999995</v>
      </c>
      <c r="Q313" t="s">
        <v>604</v>
      </c>
      <c r="R313" t="s">
        <v>53</v>
      </c>
      <c r="S313" t="s">
        <v>275</v>
      </c>
      <c r="U313" t="str">
        <f t="shared" si="12"/>
        <v>N km direction of city</v>
      </c>
      <c r="V313" t="str">
        <f t="shared" si="13"/>
        <v>mww</v>
      </c>
      <c r="X313">
        <f t="shared" si="14"/>
        <v>2015</v>
      </c>
    </row>
    <row r="314" spans="1:24">
      <c r="A314" t="s">
        <v>605</v>
      </c>
      <c r="B314">
        <v>6.5</v>
      </c>
      <c r="C314" s="1">
        <v>42312.155555555553</v>
      </c>
      <c r="D314">
        <v>5</v>
      </c>
      <c r="E314">
        <v>7</v>
      </c>
      <c r="F314" t="s">
        <v>15</v>
      </c>
      <c r="G314">
        <v>0</v>
      </c>
      <c r="H314">
        <v>657</v>
      </c>
      <c r="I314" t="s">
        <v>46</v>
      </c>
      <c r="J314">
        <v>0</v>
      </c>
      <c r="K314">
        <v>1.53</v>
      </c>
      <c r="L314">
        <v>21</v>
      </c>
      <c r="M314" t="s">
        <v>14</v>
      </c>
      <c r="N314">
        <v>20</v>
      </c>
      <c r="O314">
        <v>-8.3381000000000007</v>
      </c>
      <c r="P314">
        <v>124.875</v>
      </c>
      <c r="Q314" t="s">
        <v>606</v>
      </c>
      <c r="S314" t="s">
        <v>77</v>
      </c>
      <c r="U314" t="str">
        <f t="shared" si="12"/>
        <v>N km direction of city</v>
      </c>
      <c r="V314" t="str">
        <f t="shared" si="13"/>
        <v>mww</v>
      </c>
      <c r="X314">
        <f t="shared" si="14"/>
        <v>2015</v>
      </c>
    </row>
    <row r="315" spans="1:24">
      <c r="A315" t="s">
        <v>607</v>
      </c>
      <c r="B315">
        <v>7.5</v>
      </c>
      <c r="C315" s="1">
        <v>42303.381249999999</v>
      </c>
      <c r="D315">
        <v>8</v>
      </c>
      <c r="E315">
        <v>7</v>
      </c>
      <c r="F315" t="s">
        <v>16</v>
      </c>
      <c r="G315">
        <v>0</v>
      </c>
      <c r="H315">
        <v>1448</v>
      </c>
      <c r="I315" t="s">
        <v>46</v>
      </c>
      <c r="J315">
        <v>0</v>
      </c>
      <c r="K315">
        <v>0.622</v>
      </c>
      <c r="L315">
        <v>18</v>
      </c>
      <c r="M315" t="s">
        <v>14</v>
      </c>
      <c r="N315">
        <v>231</v>
      </c>
      <c r="O315">
        <v>36.5244</v>
      </c>
      <c r="P315">
        <v>70.367599999999996</v>
      </c>
      <c r="Q315" t="s">
        <v>608</v>
      </c>
      <c r="R315" t="s">
        <v>85</v>
      </c>
      <c r="S315" t="s">
        <v>94</v>
      </c>
      <c r="U315" t="str">
        <f t="shared" si="12"/>
        <v>Named-region</v>
      </c>
      <c r="V315" t="str">
        <f t="shared" si="13"/>
        <v>mww</v>
      </c>
      <c r="X315">
        <f t="shared" si="14"/>
        <v>2015</v>
      </c>
    </row>
    <row r="316" spans="1:24">
      <c r="A316" t="s">
        <v>609</v>
      </c>
      <c r="B316">
        <v>7.1</v>
      </c>
      <c r="C316" s="1">
        <v>42297.911111111112</v>
      </c>
      <c r="D316">
        <v>6</v>
      </c>
      <c r="E316">
        <v>6</v>
      </c>
      <c r="F316" t="s">
        <v>15</v>
      </c>
      <c r="G316">
        <v>1</v>
      </c>
      <c r="H316">
        <v>780</v>
      </c>
      <c r="I316" t="s">
        <v>46</v>
      </c>
      <c r="J316">
        <v>0</v>
      </c>
      <c r="K316">
        <v>0.59199999999999997</v>
      </c>
      <c r="L316">
        <v>11</v>
      </c>
      <c r="M316" t="s">
        <v>14</v>
      </c>
      <c r="N316">
        <v>135</v>
      </c>
      <c r="O316">
        <v>-14.859500000000001</v>
      </c>
      <c r="P316">
        <v>167.303</v>
      </c>
      <c r="Q316" t="s">
        <v>101</v>
      </c>
      <c r="S316" t="s">
        <v>48</v>
      </c>
      <c r="U316" t="str">
        <f t="shared" si="12"/>
        <v>N km direction of city</v>
      </c>
      <c r="V316" t="str">
        <f t="shared" si="13"/>
        <v>mww</v>
      </c>
      <c r="X316">
        <f t="shared" si="14"/>
        <v>2015</v>
      </c>
    </row>
    <row r="317" spans="1:24">
      <c r="A317" t="s">
        <v>610</v>
      </c>
      <c r="B317">
        <v>6.6</v>
      </c>
      <c r="C317" s="1">
        <v>42271.661805555559</v>
      </c>
      <c r="D317">
        <v>7</v>
      </c>
      <c r="E317">
        <v>7</v>
      </c>
      <c r="F317" t="s">
        <v>15</v>
      </c>
      <c r="G317">
        <v>0</v>
      </c>
      <c r="H317">
        <v>671</v>
      </c>
      <c r="I317" t="s">
        <v>46</v>
      </c>
      <c r="J317">
        <v>0</v>
      </c>
      <c r="K317">
        <v>2.4860000000000002</v>
      </c>
      <c r="L317">
        <v>13</v>
      </c>
      <c r="M317" t="s">
        <v>14</v>
      </c>
      <c r="N317">
        <v>18</v>
      </c>
      <c r="O317">
        <v>-0.62119999999999997</v>
      </c>
      <c r="P317">
        <v>131.262</v>
      </c>
      <c r="Q317" t="s">
        <v>611</v>
      </c>
      <c r="S317" t="s">
        <v>77</v>
      </c>
      <c r="U317" t="str">
        <f t="shared" si="12"/>
        <v>N km direction of city</v>
      </c>
      <c r="V317" t="str">
        <f t="shared" si="13"/>
        <v>mww</v>
      </c>
      <c r="X317">
        <f t="shared" si="14"/>
        <v>2015</v>
      </c>
    </row>
    <row r="318" spans="1:24">
      <c r="A318" t="s">
        <v>612</v>
      </c>
      <c r="B318">
        <v>6.6</v>
      </c>
      <c r="C318" s="1">
        <v>42268.736111111109</v>
      </c>
      <c r="D318">
        <v>5</v>
      </c>
      <c r="E318">
        <v>7</v>
      </c>
      <c r="F318" t="s">
        <v>15</v>
      </c>
      <c r="G318">
        <v>1</v>
      </c>
      <c r="H318">
        <v>820</v>
      </c>
      <c r="I318" t="s">
        <v>46</v>
      </c>
      <c r="J318">
        <v>0</v>
      </c>
      <c r="K318">
        <v>1.0640000000000001</v>
      </c>
      <c r="L318">
        <v>14</v>
      </c>
      <c r="M318" t="s">
        <v>14</v>
      </c>
      <c r="N318">
        <v>35</v>
      </c>
      <c r="O318">
        <v>-31.727499999999999</v>
      </c>
      <c r="P318">
        <v>-71.379199999999997</v>
      </c>
      <c r="Q318" t="s">
        <v>613</v>
      </c>
      <c r="R318" t="s">
        <v>53</v>
      </c>
      <c r="S318" t="s">
        <v>275</v>
      </c>
      <c r="U318" t="str">
        <f t="shared" si="12"/>
        <v>N km direction of city</v>
      </c>
      <c r="V318" t="str">
        <f t="shared" si="13"/>
        <v>mww</v>
      </c>
      <c r="X318">
        <f t="shared" si="14"/>
        <v>2015</v>
      </c>
    </row>
    <row r="319" spans="1:24">
      <c r="A319" t="s">
        <v>614</v>
      </c>
      <c r="B319">
        <v>6.7</v>
      </c>
      <c r="C319" s="1">
        <v>42264.173611111109</v>
      </c>
      <c r="D319">
        <v>5</v>
      </c>
      <c r="E319">
        <v>7</v>
      </c>
      <c r="F319" t="s">
        <v>15</v>
      </c>
      <c r="G319">
        <v>0</v>
      </c>
      <c r="H319">
        <v>718</v>
      </c>
      <c r="I319" t="s">
        <v>46</v>
      </c>
      <c r="J319">
        <v>0</v>
      </c>
      <c r="K319">
        <v>0.85299999999999998</v>
      </c>
      <c r="L319">
        <v>35</v>
      </c>
      <c r="M319" t="s">
        <v>14</v>
      </c>
      <c r="N319">
        <v>23</v>
      </c>
      <c r="O319">
        <v>-31.517299999999999</v>
      </c>
      <c r="P319">
        <v>-71.804000000000002</v>
      </c>
      <c r="Q319" t="s">
        <v>613</v>
      </c>
      <c r="S319" t="s">
        <v>275</v>
      </c>
      <c r="U319" t="str">
        <f t="shared" si="12"/>
        <v>N km direction of city</v>
      </c>
      <c r="V319" t="str">
        <f t="shared" si="13"/>
        <v>mww</v>
      </c>
      <c r="X319">
        <f t="shared" si="14"/>
        <v>2015</v>
      </c>
    </row>
    <row r="320" spans="1:24">
      <c r="A320" t="s">
        <v>615</v>
      </c>
      <c r="B320">
        <v>6.5</v>
      </c>
      <c r="C320" s="1">
        <v>42264.163194444453</v>
      </c>
      <c r="D320">
        <v>6</v>
      </c>
      <c r="E320">
        <v>7</v>
      </c>
      <c r="F320" t="s">
        <v>15</v>
      </c>
      <c r="G320">
        <v>0</v>
      </c>
      <c r="H320">
        <v>657</v>
      </c>
      <c r="I320" t="s">
        <v>46</v>
      </c>
      <c r="J320">
        <v>0</v>
      </c>
      <c r="K320">
        <v>0.749</v>
      </c>
      <c r="L320">
        <v>62</v>
      </c>
      <c r="M320" t="s">
        <v>14</v>
      </c>
      <c r="N320">
        <v>27</v>
      </c>
      <c r="O320">
        <v>-31.424399999999999</v>
      </c>
      <c r="P320">
        <v>-71.687600000000003</v>
      </c>
      <c r="Q320" t="s">
        <v>613</v>
      </c>
      <c r="S320" t="s">
        <v>275</v>
      </c>
      <c r="U320" t="str">
        <f t="shared" si="12"/>
        <v>N km direction of city</v>
      </c>
      <c r="V320" t="str">
        <f t="shared" si="13"/>
        <v>mww</v>
      </c>
      <c r="X320">
        <f t="shared" si="14"/>
        <v>2015</v>
      </c>
    </row>
    <row r="321" spans="1:24">
      <c r="A321" t="s">
        <v>616</v>
      </c>
      <c r="B321">
        <v>7</v>
      </c>
      <c r="C321" s="1">
        <v>42263.970833333333</v>
      </c>
      <c r="D321">
        <v>8</v>
      </c>
      <c r="E321">
        <v>7</v>
      </c>
      <c r="F321" t="s">
        <v>15</v>
      </c>
      <c r="G321">
        <v>0</v>
      </c>
      <c r="H321">
        <v>799</v>
      </c>
      <c r="I321" t="s">
        <v>46</v>
      </c>
      <c r="J321">
        <v>0</v>
      </c>
      <c r="K321">
        <v>0.90300000000000002</v>
      </c>
      <c r="L321">
        <v>13</v>
      </c>
      <c r="M321" t="s">
        <v>14</v>
      </c>
      <c r="N321">
        <v>28.41</v>
      </c>
      <c r="O321">
        <v>-31.562200000000001</v>
      </c>
      <c r="P321">
        <v>-71.426199999999994</v>
      </c>
      <c r="Q321" t="s">
        <v>613</v>
      </c>
      <c r="R321" t="s">
        <v>53</v>
      </c>
      <c r="S321" t="s">
        <v>275</v>
      </c>
      <c r="U321" t="str">
        <f t="shared" si="12"/>
        <v>N km direction of city</v>
      </c>
      <c r="V321" t="str">
        <f t="shared" si="13"/>
        <v>mww</v>
      </c>
      <c r="X321">
        <f t="shared" si="14"/>
        <v>2015</v>
      </c>
    </row>
    <row r="322" spans="1:24">
      <c r="A322" t="s">
        <v>617</v>
      </c>
      <c r="B322">
        <v>8.3000000000000007</v>
      </c>
      <c r="C322" s="1">
        <v>42263.95416666667</v>
      </c>
      <c r="D322">
        <v>9</v>
      </c>
      <c r="E322">
        <v>8</v>
      </c>
      <c r="F322" t="s">
        <v>16</v>
      </c>
      <c r="G322">
        <v>1</v>
      </c>
      <c r="H322">
        <v>1960</v>
      </c>
      <c r="I322" t="s">
        <v>46</v>
      </c>
      <c r="J322">
        <v>0</v>
      </c>
      <c r="K322">
        <v>0.68400000000000005</v>
      </c>
      <c r="L322">
        <v>19</v>
      </c>
      <c r="M322" t="s">
        <v>14</v>
      </c>
      <c r="N322">
        <v>22.44</v>
      </c>
      <c r="O322">
        <v>-31.572900000000001</v>
      </c>
      <c r="P322">
        <v>-71.674400000000006</v>
      </c>
      <c r="Q322" t="s">
        <v>613</v>
      </c>
      <c r="S322" t="s">
        <v>275</v>
      </c>
      <c r="U322" t="str">
        <f t="shared" ref="U322:U385" si="15">IF(ISNUMBER(SEARCH("km",A322)),"N km direction of city","Named-region")</f>
        <v>N km direction of city</v>
      </c>
      <c r="V322" t="str">
        <f t="shared" ref="V322:V385" si="16">LOWER(M322)</f>
        <v>mww</v>
      </c>
      <c r="X322">
        <f t="shared" ref="X322:X385" si="17">YEAR(C322)</f>
        <v>2015</v>
      </c>
    </row>
    <row r="323" spans="1:24">
      <c r="A323" t="s">
        <v>618</v>
      </c>
      <c r="B323">
        <v>6.7</v>
      </c>
      <c r="C323" s="1">
        <v>42260.343055555553</v>
      </c>
      <c r="D323">
        <v>5</v>
      </c>
      <c r="E323">
        <v>5</v>
      </c>
      <c r="F323" t="s">
        <v>15</v>
      </c>
      <c r="G323">
        <v>1</v>
      </c>
      <c r="H323">
        <v>708</v>
      </c>
      <c r="I323" t="s">
        <v>46</v>
      </c>
      <c r="J323">
        <v>0</v>
      </c>
      <c r="K323">
        <v>1.256</v>
      </c>
      <c r="L323">
        <v>123</v>
      </c>
      <c r="M323" t="s">
        <v>14</v>
      </c>
      <c r="N323">
        <v>10</v>
      </c>
      <c r="O323">
        <v>24.913</v>
      </c>
      <c r="P323">
        <v>-109.623</v>
      </c>
      <c r="Q323" t="s">
        <v>619</v>
      </c>
      <c r="U323" t="str">
        <f t="shared" si="15"/>
        <v>N km direction of city</v>
      </c>
      <c r="V323" t="str">
        <f t="shared" si="16"/>
        <v>mww</v>
      </c>
      <c r="X323">
        <f t="shared" si="17"/>
        <v>2015</v>
      </c>
    </row>
    <row r="324" spans="1:24">
      <c r="A324" t="s">
        <v>620</v>
      </c>
      <c r="B324">
        <v>6.5</v>
      </c>
      <c r="C324" s="1">
        <v>42228.78402777778</v>
      </c>
      <c r="D324">
        <v>0</v>
      </c>
      <c r="E324">
        <v>5</v>
      </c>
      <c r="F324" t="s">
        <v>15</v>
      </c>
      <c r="G324">
        <v>1</v>
      </c>
      <c r="H324">
        <v>650</v>
      </c>
      <c r="I324" t="s">
        <v>46</v>
      </c>
      <c r="J324">
        <v>0</v>
      </c>
      <c r="K324">
        <v>2.0449999999999999</v>
      </c>
      <c r="L324">
        <v>16</v>
      </c>
      <c r="M324" t="s">
        <v>14</v>
      </c>
      <c r="N324">
        <v>6.43</v>
      </c>
      <c r="O324">
        <v>-9.3292999999999999</v>
      </c>
      <c r="P324">
        <v>157.87700000000001</v>
      </c>
      <c r="Q324" t="s">
        <v>621</v>
      </c>
      <c r="U324" t="str">
        <f t="shared" si="15"/>
        <v>N km direction of city</v>
      </c>
      <c r="V324" t="str">
        <f t="shared" si="16"/>
        <v>mww</v>
      </c>
      <c r="X324">
        <f t="shared" si="17"/>
        <v>2015</v>
      </c>
    </row>
    <row r="325" spans="1:24">
      <c r="A325" t="s">
        <v>622</v>
      </c>
      <c r="B325">
        <v>6.6</v>
      </c>
      <c r="C325" s="1">
        <v>42226.175000000003</v>
      </c>
      <c r="D325">
        <v>3</v>
      </c>
      <c r="E325">
        <v>5</v>
      </c>
      <c r="F325" t="s">
        <v>15</v>
      </c>
      <c r="G325">
        <v>1</v>
      </c>
      <c r="H325">
        <v>671</v>
      </c>
      <c r="I325" t="s">
        <v>46</v>
      </c>
      <c r="J325">
        <v>0</v>
      </c>
      <c r="K325">
        <v>1.8720000000000001</v>
      </c>
      <c r="L325">
        <v>20</v>
      </c>
      <c r="M325" t="s">
        <v>14</v>
      </c>
      <c r="N325">
        <v>22</v>
      </c>
      <c r="O325">
        <v>-9.3437999999999999</v>
      </c>
      <c r="P325">
        <v>158.053</v>
      </c>
      <c r="Q325" t="s">
        <v>122</v>
      </c>
      <c r="U325" t="str">
        <f t="shared" si="15"/>
        <v>N km direction of city</v>
      </c>
      <c r="V325" t="str">
        <f t="shared" si="16"/>
        <v>mww</v>
      </c>
      <c r="X325">
        <f t="shared" si="17"/>
        <v>2015</v>
      </c>
    </row>
    <row r="326" spans="1:24">
      <c r="A326" t="s">
        <v>623</v>
      </c>
      <c r="B326">
        <v>7</v>
      </c>
      <c r="C326" s="1">
        <v>42212.90347222222</v>
      </c>
      <c r="D326">
        <v>9</v>
      </c>
      <c r="E326">
        <v>7</v>
      </c>
      <c r="F326" t="s">
        <v>15</v>
      </c>
      <c r="G326">
        <v>1</v>
      </c>
      <c r="H326">
        <v>762</v>
      </c>
      <c r="I326" t="s">
        <v>46</v>
      </c>
      <c r="J326">
        <v>0</v>
      </c>
      <c r="K326">
        <v>6.2779999999999996</v>
      </c>
      <c r="L326">
        <v>12</v>
      </c>
      <c r="M326" t="s">
        <v>14</v>
      </c>
      <c r="N326">
        <v>48</v>
      </c>
      <c r="O326">
        <v>-2.6286</v>
      </c>
      <c r="P326">
        <v>138.52799999999999</v>
      </c>
      <c r="Q326" t="s">
        <v>624</v>
      </c>
      <c r="S326" t="s">
        <v>77</v>
      </c>
      <c r="U326" t="str">
        <f t="shared" si="15"/>
        <v>N km direction of city</v>
      </c>
      <c r="V326" t="str">
        <f t="shared" si="16"/>
        <v>mww</v>
      </c>
      <c r="X326">
        <f t="shared" si="17"/>
        <v>2015</v>
      </c>
    </row>
    <row r="327" spans="1:24">
      <c r="A327" t="s">
        <v>625</v>
      </c>
      <c r="B327">
        <v>6.9</v>
      </c>
      <c r="C327" s="1">
        <v>42212.200694444437</v>
      </c>
      <c r="D327">
        <v>4</v>
      </c>
      <c r="E327">
        <v>7</v>
      </c>
      <c r="F327" t="s">
        <v>15</v>
      </c>
      <c r="G327">
        <v>1</v>
      </c>
      <c r="H327">
        <v>734</v>
      </c>
      <c r="I327" t="s">
        <v>46</v>
      </c>
      <c r="J327">
        <v>0</v>
      </c>
      <c r="K327">
        <v>0.44400000000000001</v>
      </c>
      <c r="L327">
        <v>39</v>
      </c>
      <c r="M327" t="s">
        <v>14</v>
      </c>
      <c r="N327">
        <v>29</v>
      </c>
      <c r="O327">
        <v>52.375999999999998</v>
      </c>
      <c r="P327">
        <v>-169.446</v>
      </c>
      <c r="Q327" t="s">
        <v>626</v>
      </c>
      <c r="U327" t="str">
        <f t="shared" si="15"/>
        <v>Named-region</v>
      </c>
      <c r="V327" t="str">
        <f t="shared" si="16"/>
        <v>mww</v>
      </c>
      <c r="X327">
        <f t="shared" si="17"/>
        <v>2015</v>
      </c>
    </row>
    <row r="328" spans="1:24">
      <c r="A328" t="s">
        <v>627</v>
      </c>
      <c r="B328">
        <v>7</v>
      </c>
      <c r="C328" s="1">
        <v>42203.102083333331</v>
      </c>
      <c r="D328">
        <v>8</v>
      </c>
      <c r="E328">
        <v>6</v>
      </c>
      <c r="F328" t="s">
        <v>15</v>
      </c>
      <c r="G328">
        <v>1</v>
      </c>
      <c r="H328">
        <v>759</v>
      </c>
      <c r="I328" t="s">
        <v>46</v>
      </c>
      <c r="J328">
        <v>0</v>
      </c>
      <c r="K328">
        <v>5.2050000000000001</v>
      </c>
      <c r="L328">
        <v>22</v>
      </c>
      <c r="M328" t="s">
        <v>14</v>
      </c>
      <c r="N328">
        <v>11</v>
      </c>
      <c r="O328">
        <v>-10.401199999999999</v>
      </c>
      <c r="P328">
        <v>165.14099999999999</v>
      </c>
      <c r="Q328" t="s">
        <v>299</v>
      </c>
      <c r="U328" t="str">
        <f t="shared" si="15"/>
        <v>N km direction of city</v>
      </c>
      <c r="V328" t="str">
        <f t="shared" si="16"/>
        <v>mww</v>
      </c>
      <c r="X328">
        <f t="shared" si="17"/>
        <v>2015</v>
      </c>
    </row>
    <row r="329" spans="1:24">
      <c r="A329" t="s">
        <v>628</v>
      </c>
      <c r="B329">
        <v>6.5</v>
      </c>
      <c r="C329" s="1">
        <v>42201.636111111111</v>
      </c>
      <c r="D329">
        <v>4</v>
      </c>
      <c r="E329">
        <v>4</v>
      </c>
      <c r="F329" t="s">
        <v>15</v>
      </c>
      <c r="G329">
        <v>1</v>
      </c>
      <c r="H329">
        <v>686</v>
      </c>
      <c r="I329" t="s">
        <v>46</v>
      </c>
      <c r="J329">
        <v>0</v>
      </c>
      <c r="K329">
        <v>1.218</v>
      </c>
      <c r="L329">
        <v>20</v>
      </c>
      <c r="M329" t="s">
        <v>14</v>
      </c>
      <c r="N329">
        <v>20</v>
      </c>
      <c r="O329">
        <v>13.8672</v>
      </c>
      <c r="P329">
        <v>-58.547899999999998</v>
      </c>
      <c r="Q329" t="s">
        <v>629</v>
      </c>
      <c r="U329" t="str">
        <f t="shared" si="15"/>
        <v>N km direction of city</v>
      </c>
      <c r="V329" t="str">
        <f t="shared" si="16"/>
        <v>mww</v>
      </c>
      <c r="X329">
        <f t="shared" si="17"/>
        <v>2015</v>
      </c>
    </row>
    <row r="330" spans="1:24">
      <c r="A330" t="s">
        <v>630</v>
      </c>
      <c r="B330">
        <v>6.7</v>
      </c>
      <c r="C330" s="1">
        <v>42195.175000000003</v>
      </c>
      <c r="D330">
        <v>4</v>
      </c>
      <c r="E330">
        <v>5</v>
      </c>
      <c r="F330" t="s">
        <v>15</v>
      </c>
      <c r="G330">
        <v>1</v>
      </c>
      <c r="H330">
        <v>691</v>
      </c>
      <c r="I330" t="s">
        <v>46</v>
      </c>
      <c r="J330">
        <v>0</v>
      </c>
      <c r="K330">
        <v>1.5289999999999999</v>
      </c>
      <c r="L330">
        <v>11</v>
      </c>
      <c r="M330" t="s">
        <v>14</v>
      </c>
      <c r="N330">
        <v>12</v>
      </c>
      <c r="O330">
        <v>-9.3070000000000004</v>
      </c>
      <c r="P330">
        <v>158.40299999999999</v>
      </c>
      <c r="Q330" t="s">
        <v>122</v>
      </c>
      <c r="S330" t="s">
        <v>124</v>
      </c>
      <c r="U330" t="str">
        <f t="shared" si="15"/>
        <v>N km direction of city</v>
      </c>
      <c r="V330" t="str">
        <f t="shared" si="16"/>
        <v>mww</v>
      </c>
      <c r="X330">
        <f t="shared" si="17"/>
        <v>2015</v>
      </c>
    </row>
    <row r="331" spans="1:24">
      <c r="A331" t="s">
        <v>631</v>
      </c>
      <c r="B331">
        <v>6.5</v>
      </c>
      <c r="C331" s="1">
        <v>42178.512499999997</v>
      </c>
      <c r="D331">
        <v>3</v>
      </c>
      <c r="E331">
        <v>4</v>
      </c>
      <c r="F331" t="s">
        <v>15</v>
      </c>
      <c r="G331">
        <v>0</v>
      </c>
      <c r="H331">
        <v>652</v>
      </c>
      <c r="I331" t="s">
        <v>46</v>
      </c>
      <c r="J331">
        <v>0</v>
      </c>
      <c r="K331">
        <v>2.2770000000000001</v>
      </c>
      <c r="L331">
        <v>11</v>
      </c>
      <c r="M331" t="s">
        <v>14</v>
      </c>
      <c r="N331">
        <v>460</v>
      </c>
      <c r="O331">
        <v>27.737500000000001</v>
      </c>
      <c r="P331">
        <v>139.72499999999999</v>
      </c>
      <c r="Q331" t="s">
        <v>632</v>
      </c>
      <c r="U331" t="str">
        <f t="shared" si="15"/>
        <v>Named-region</v>
      </c>
      <c r="V331" t="str">
        <f t="shared" si="16"/>
        <v>mww</v>
      </c>
      <c r="X331">
        <f t="shared" si="17"/>
        <v>2015</v>
      </c>
    </row>
    <row r="332" spans="1:24">
      <c r="A332" t="s">
        <v>633</v>
      </c>
      <c r="B332">
        <v>7.8</v>
      </c>
      <c r="C332" s="1">
        <v>42154.474305555559</v>
      </c>
      <c r="D332">
        <v>6</v>
      </c>
      <c r="E332">
        <v>3</v>
      </c>
      <c r="F332" t="s">
        <v>15</v>
      </c>
      <c r="G332">
        <v>1</v>
      </c>
      <c r="H332">
        <v>1151</v>
      </c>
      <c r="I332" t="s">
        <v>46</v>
      </c>
      <c r="J332">
        <v>0</v>
      </c>
      <c r="K332">
        <v>1.675</v>
      </c>
      <c r="L332">
        <v>12</v>
      </c>
      <c r="M332" t="s">
        <v>14</v>
      </c>
      <c r="N332">
        <v>664</v>
      </c>
      <c r="O332">
        <v>27.8386</v>
      </c>
      <c r="P332">
        <v>140.49299999999999</v>
      </c>
      <c r="Q332" t="s">
        <v>632</v>
      </c>
      <c r="U332" t="str">
        <f t="shared" si="15"/>
        <v>Named-region</v>
      </c>
      <c r="V332" t="str">
        <f t="shared" si="16"/>
        <v>mww</v>
      </c>
      <c r="X332">
        <f t="shared" si="17"/>
        <v>2015</v>
      </c>
    </row>
    <row r="333" spans="1:24">
      <c r="A333" t="s">
        <v>634</v>
      </c>
      <c r="B333">
        <v>6.8</v>
      </c>
      <c r="C333" s="1">
        <v>42153.291666666657</v>
      </c>
      <c r="D333">
        <v>5</v>
      </c>
      <c r="E333">
        <v>6</v>
      </c>
      <c r="F333" t="s">
        <v>15</v>
      </c>
      <c r="G333">
        <v>1</v>
      </c>
      <c r="H333">
        <v>762</v>
      </c>
      <c r="I333" t="s">
        <v>202</v>
      </c>
      <c r="J333">
        <v>0</v>
      </c>
      <c r="K333">
        <v>0</v>
      </c>
      <c r="L333">
        <v>0</v>
      </c>
      <c r="M333" t="s">
        <v>11</v>
      </c>
      <c r="N333">
        <v>72.599999999999994</v>
      </c>
      <c r="O333">
        <v>56.594000000000001</v>
      </c>
      <c r="P333">
        <v>-156.43</v>
      </c>
      <c r="Q333" t="s">
        <v>635</v>
      </c>
      <c r="U333" t="str">
        <f t="shared" si="15"/>
        <v>N km direction of city</v>
      </c>
      <c r="V333" t="str">
        <f t="shared" si="16"/>
        <v>mw</v>
      </c>
      <c r="X333">
        <f t="shared" si="17"/>
        <v>2015</v>
      </c>
    </row>
    <row r="334" spans="1:24">
      <c r="A334" t="s">
        <v>636</v>
      </c>
      <c r="B334">
        <v>6.8</v>
      </c>
      <c r="C334" s="1">
        <v>42146.999305555553</v>
      </c>
      <c r="D334">
        <v>1</v>
      </c>
      <c r="E334">
        <v>5</v>
      </c>
      <c r="F334" t="s">
        <v>15</v>
      </c>
      <c r="G334">
        <v>1</v>
      </c>
      <c r="H334">
        <v>711</v>
      </c>
      <c r="I334" t="s">
        <v>46</v>
      </c>
      <c r="J334">
        <v>0</v>
      </c>
      <c r="K334">
        <v>3.6190000000000002</v>
      </c>
      <c r="L334">
        <v>18</v>
      </c>
      <c r="M334" t="s">
        <v>14</v>
      </c>
      <c r="N334">
        <v>10</v>
      </c>
      <c r="O334">
        <v>-11.109299999999999</v>
      </c>
      <c r="P334">
        <v>163.215</v>
      </c>
      <c r="Q334" t="s">
        <v>406</v>
      </c>
      <c r="U334" t="str">
        <f t="shared" si="15"/>
        <v>N km direction of city</v>
      </c>
      <c r="V334" t="str">
        <f t="shared" si="16"/>
        <v>mww</v>
      </c>
      <c r="X334">
        <f t="shared" si="17"/>
        <v>2015</v>
      </c>
    </row>
    <row r="335" spans="1:24">
      <c r="A335" t="s">
        <v>637</v>
      </c>
      <c r="B335">
        <v>6.9</v>
      </c>
      <c r="C335" s="1">
        <v>42146.90625</v>
      </c>
      <c r="D335">
        <v>1</v>
      </c>
      <c r="E335">
        <v>4</v>
      </c>
      <c r="F335" t="s">
        <v>15</v>
      </c>
      <c r="G335">
        <v>1</v>
      </c>
      <c r="H335">
        <v>732</v>
      </c>
      <c r="I335" t="s">
        <v>46</v>
      </c>
      <c r="J335">
        <v>0</v>
      </c>
      <c r="K335">
        <v>4.024</v>
      </c>
      <c r="L335">
        <v>22</v>
      </c>
      <c r="M335" t="s">
        <v>14</v>
      </c>
      <c r="N335">
        <v>11.19</v>
      </c>
      <c r="O335">
        <v>-11.055899999999999</v>
      </c>
      <c r="P335">
        <v>163.696</v>
      </c>
      <c r="Q335" t="s">
        <v>406</v>
      </c>
      <c r="U335" t="str">
        <f t="shared" si="15"/>
        <v>N km direction of city</v>
      </c>
      <c r="V335" t="str">
        <f t="shared" si="16"/>
        <v>mww</v>
      </c>
      <c r="X335">
        <f t="shared" si="17"/>
        <v>2015</v>
      </c>
    </row>
    <row r="336" spans="1:24">
      <c r="A336" t="s">
        <v>638</v>
      </c>
      <c r="B336">
        <v>6.8</v>
      </c>
      <c r="C336" s="1">
        <v>42144.95</v>
      </c>
      <c r="D336">
        <v>1</v>
      </c>
      <c r="E336">
        <v>4</v>
      </c>
      <c r="F336" t="s">
        <v>15</v>
      </c>
      <c r="G336">
        <v>1</v>
      </c>
      <c r="H336">
        <v>711</v>
      </c>
      <c r="I336" t="s">
        <v>46</v>
      </c>
      <c r="J336">
        <v>0</v>
      </c>
      <c r="K336">
        <v>4.3949999999999996</v>
      </c>
      <c r="L336">
        <v>15</v>
      </c>
      <c r="M336" t="s">
        <v>14</v>
      </c>
      <c r="N336">
        <v>11</v>
      </c>
      <c r="O336">
        <v>-10.8759</v>
      </c>
      <c r="P336">
        <v>164.16900000000001</v>
      </c>
      <c r="Q336" t="s">
        <v>299</v>
      </c>
      <c r="U336" t="str">
        <f t="shared" si="15"/>
        <v>N km direction of city</v>
      </c>
      <c r="V336" t="str">
        <f t="shared" si="16"/>
        <v>mww</v>
      </c>
      <c r="X336">
        <f t="shared" si="17"/>
        <v>2015</v>
      </c>
    </row>
    <row r="337" spans="1:24">
      <c r="A337" t="s">
        <v>639</v>
      </c>
      <c r="B337">
        <v>6.8</v>
      </c>
      <c r="C337" s="1">
        <v>42136.883333333331</v>
      </c>
      <c r="D337">
        <v>8</v>
      </c>
      <c r="E337">
        <v>6</v>
      </c>
      <c r="F337" t="s">
        <v>15</v>
      </c>
      <c r="G337">
        <v>1</v>
      </c>
      <c r="H337">
        <v>831</v>
      </c>
      <c r="I337" t="s">
        <v>46</v>
      </c>
      <c r="J337">
        <v>0</v>
      </c>
      <c r="K337">
        <v>1.4219999999999999</v>
      </c>
      <c r="L337">
        <v>8</v>
      </c>
      <c r="M337" t="s">
        <v>14</v>
      </c>
      <c r="N337">
        <v>35</v>
      </c>
      <c r="O337">
        <v>38.9056</v>
      </c>
      <c r="P337">
        <v>142.03200000000001</v>
      </c>
      <c r="Q337" t="s">
        <v>640</v>
      </c>
      <c r="R337" t="s">
        <v>85</v>
      </c>
      <c r="S337" t="s">
        <v>243</v>
      </c>
      <c r="U337" t="str">
        <f t="shared" si="15"/>
        <v>N km direction of city</v>
      </c>
      <c r="V337" t="str">
        <f t="shared" si="16"/>
        <v>mww</v>
      </c>
      <c r="X337">
        <f t="shared" si="17"/>
        <v>2015</v>
      </c>
    </row>
    <row r="338" spans="1:24">
      <c r="A338" t="s">
        <v>641</v>
      </c>
      <c r="B338">
        <v>7.3</v>
      </c>
      <c r="C338" s="1">
        <v>42136.295138888891</v>
      </c>
      <c r="D338">
        <v>8</v>
      </c>
      <c r="E338">
        <v>7</v>
      </c>
      <c r="F338" t="s">
        <v>16</v>
      </c>
      <c r="G338">
        <v>0</v>
      </c>
      <c r="H338">
        <v>1563</v>
      </c>
      <c r="I338" t="s">
        <v>46</v>
      </c>
      <c r="J338">
        <v>0</v>
      </c>
      <c r="K338">
        <v>0.67700000000000005</v>
      </c>
      <c r="L338">
        <v>11</v>
      </c>
      <c r="M338" t="s">
        <v>14</v>
      </c>
      <c r="N338">
        <v>15</v>
      </c>
      <c r="O338">
        <v>27.808700000000002</v>
      </c>
      <c r="P338">
        <v>86.0655</v>
      </c>
      <c r="Q338" t="s">
        <v>642</v>
      </c>
      <c r="R338" t="s">
        <v>85</v>
      </c>
      <c r="S338" t="s">
        <v>642</v>
      </c>
      <c r="U338" t="str">
        <f t="shared" si="15"/>
        <v>Named-region</v>
      </c>
      <c r="V338" t="str">
        <f t="shared" si="16"/>
        <v>mww</v>
      </c>
      <c r="X338">
        <f t="shared" si="17"/>
        <v>2015</v>
      </c>
    </row>
    <row r="339" spans="1:24">
      <c r="A339" t="s">
        <v>643</v>
      </c>
      <c r="B339">
        <v>7.1</v>
      </c>
      <c r="C339" s="1">
        <v>42131.298611111109</v>
      </c>
      <c r="D339">
        <v>1</v>
      </c>
      <c r="E339">
        <v>6</v>
      </c>
      <c r="F339" t="s">
        <v>15</v>
      </c>
      <c r="G339">
        <v>1</v>
      </c>
      <c r="H339">
        <v>776</v>
      </c>
      <c r="I339" t="s">
        <v>46</v>
      </c>
      <c r="J339">
        <v>0</v>
      </c>
      <c r="K339">
        <v>3.835</v>
      </c>
      <c r="L339">
        <v>11</v>
      </c>
      <c r="M339" t="s">
        <v>14</v>
      </c>
      <c r="N339">
        <v>10</v>
      </c>
      <c r="O339">
        <v>-7.2175000000000002</v>
      </c>
      <c r="P339">
        <v>154.55699999999999</v>
      </c>
      <c r="Q339" t="s">
        <v>506</v>
      </c>
      <c r="U339" t="str">
        <f t="shared" si="15"/>
        <v>N km direction of city</v>
      </c>
      <c r="V339" t="str">
        <f t="shared" si="16"/>
        <v>mww</v>
      </c>
      <c r="X339">
        <f t="shared" si="17"/>
        <v>2015</v>
      </c>
    </row>
    <row r="340" spans="1:24">
      <c r="A340" t="s">
        <v>644</v>
      </c>
      <c r="B340">
        <v>7.5</v>
      </c>
      <c r="C340" s="1">
        <v>42129.072222222218</v>
      </c>
      <c r="D340">
        <v>7</v>
      </c>
      <c r="E340">
        <v>8</v>
      </c>
      <c r="F340" t="s">
        <v>15</v>
      </c>
      <c r="G340">
        <v>1</v>
      </c>
      <c r="H340">
        <v>869</v>
      </c>
      <c r="I340" t="s">
        <v>46</v>
      </c>
      <c r="J340">
        <v>0</v>
      </c>
      <c r="K340">
        <v>1.2949999999999999</v>
      </c>
      <c r="L340">
        <v>22</v>
      </c>
      <c r="M340" t="s">
        <v>14</v>
      </c>
      <c r="N340">
        <v>55</v>
      </c>
      <c r="O340">
        <v>-5.4623999999999997</v>
      </c>
      <c r="P340">
        <v>151.875</v>
      </c>
      <c r="Q340" t="s">
        <v>434</v>
      </c>
      <c r="S340" t="s">
        <v>89</v>
      </c>
      <c r="U340" t="str">
        <f t="shared" si="15"/>
        <v>N km direction of city</v>
      </c>
      <c r="V340" t="str">
        <f t="shared" si="16"/>
        <v>mww</v>
      </c>
      <c r="X340">
        <f t="shared" si="17"/>
        <v>2015</v>
      </c>
    </row>
    <row r="341" spans="1:24">
      <c r="A341" t="s">
        <v>645</v>
      </c>
      <c r="B341">
        <v>6.8</v>
      </c>
      <c r="C341" s="1">
        <v>42125.337500000001</v>
      </c>
      <c r="D341">
        <v>5</v>
      </c>
      <c r="E341">
        <v>6</v>
      </c>
      <c r="F341" t="s">
        <v>15</v>
      </c>
      <c r="G341">
        <v>1</v>
      </c>
      <c r="H341">
        <v>714</v>
      </c>
      <c r="I341" t="s">
        <v>46</v>
      </c>
      <c r="J341">
        <v>0</v>
      </c>
      <c r="K341">
        <v>1.0740000000000001</v>
      </c>
      <c r="L341">
        <v>23</v>
      </c>
      <c r="M341" t="s">
        <v>14</v>
      </c>
      <c r="N341">
        <v>44</v>
      </c>
      <c r="O341">
        <v>-5.2004999999999999</v>
      </c>
      <c r="P341">
        <v>151.77699999999999</v>
      </c>
      <c r="Q341" t="s">
        <v>434</v>
      </c>
      <c r="S341" t="s">
        <v>89</v>
      </c>
      <c r="U341" t="str">
        <f t="shared" si="15"/>
        <v>N km direction of city</v>
      </c>
      <c r="V341" t="str">
        <f t="shared" si="16"/>
        <v>mww</v>
      </c>
      <c r="X341">
        <f t="shared" si="17"/>
        <v>2015</v>
      </c>
    </row>
    <row r="342" spans="1:24">
      <c r="A342" t="s">
        <v>646</v>
      </c>
      <c r="B342">
        <v>6.7</v>
      </c>
      <c r="C342" s="1">
        <v>42124.447916666657</v>
      </c>
      <c r="D342">
        <v>5</v>
      </c>
      <c r="E342">
        <v>6</v>
      </c>
      <c r="F342" t="s">
        <v>15</v>
      </c>
      <c r="G342">
        <v>1</v>
      </c>
      <c r="H342">
        <v>692</v>
      </c>
      <c r="I342" t="s">
        <v>46</v>
      </c>
      <c r="J342">
        <v>0</v>
      </c>
      <c r="K342">
        <v>1.2390000000000001</v>
      </c>
      <c r="L342">
        <v>12</v>
      </c>
      <c r="M342" t="s">
        <v>14</v>
      </c>
      <c r="N342">
        <v>31</v>
      </c>
      <c r="O342">
        <v>-5.375</v>
      </c>
      <c r="P342">
        <v>151.77099999999999</v>
      </c>
      <c r="Q342" t="s">
        <v>434</v>
      </c>
      <c r="S342" t="s">
        <v>89</v>
      </c>
      <c r="U342" t="str">
        <f t="shared" si="15"/>
        <v>N km direction of city</v>
      </c>
      <c r="V342" t="str">
        <f t="shared" si="16"/>
        <v>mww</v>
      </c>
      <c r="X342">
        <f t="shared" si="17"/>
        <v>2015</v>
      </c>
    </row>
    <row r="343" spans="1:24">
      <c r="A343" t="s">
        <v>647</v>
      </c>
      <c r="B343">
        <v>6.7</v>
      </c>
      <c r="C343" s="1">
        <v>42120.29791666667</v>
      </c>
      <c r="D343">
        <v>7</v>
      </c>
      <c r="E343">
        <v>7</v>
      </c>
      <c r="F343" t="s">
        <v>18</v>
      </c>
      <c r="G343">
        <v>0</v>
      </c>
      <c r="H343">
        <v>1016</v>
      </c>
      <c r="I343" t="s">
        <v>46</v>
      </c>
      <c r="J343">
        <v>0</v>
      </c>
      <c r="K343">
        <v>0.72699999999999998</v>
      </c>
      <c r="L343">
        <v>13</v>
      </c>
      <c r="M343" t="s">
        <v>14</v>
      </c>
      <c r="N343">
        <v>22.91</v>
      </c>
      <c r="O343">
        <v>27.771100000000001</v>
      </c>
      <c r="P343">
        <v>86.017300000000006</v>
      </c>
      <c r="Q343" t="s">
        <v>648</v>
      </c>
      <c r="R343" t="s">
        <v>85</v>
      </c>
      <c r="S343" t="s">
        <v>642</v>
      </c>
      <c r="U343" t="str">
        <f t="shared" si="15"/>
        <v>N km direction of city</v>
      </c>
      <c r="V343" t="str">
        <f t="shared" si="16"/>
        <v>mww</v>
      </c>
      <c r="X343">
        <f t="shared" si="17"/>
        <v>2015</v>
      </c>
    </row>
    <row r="344" spans="1:24">
      <c r="A344" t="s">
        <v>649</v>
      </c>
      <c r="B344">
        <v>6.6</v>
      </c>
      <c r="C344" s="1">
        <v>42119.28125</v>
      </c>
      <c r="D344">
        <v>8</v>
      </c>
      <c r="E344">
        <v>7</v>
      </c>
      <c r="F344" t="s">
        <v>18</v>
      </c>
      <c r="G344">
        <v>0</v>
      </c>
      <c r="H344">
        <v>733</v>
      </c>
      <c r="I344" t="s">
        <v>46</v>
      </c>
      <c r="J344">
        <v>0</v>
      </c>
      <c r="K344">
        <v>1.778</v>
      </c>
      <c r="L344">
        <v>16</v>
      </c>
      <c r="M344" t="s">
        <v>14</v>
      </c>
      <c r="N344">
        <v>10</v>
      </c>
      <c r="O344">
        <v>28.224399999999999</v>
      </c>
      <c r="P344">
        <v>84.821600000000004</v>
      </c>
      <c r="Q344" t="s">
        <v>650</v>
      </c>
      <c r="R344" t="s">
        <v>85</v>
      </c>
      <c r="S344" t="s">
        <v>642</v>
      </c>
      <c r="U344" t="str">
        <f t="shared" si="15"/>
        <v>N km direction of city</v>
      </c>
      <c r="V344" t="str">
        <f t="shared" si="16"/>
        <v>mww</v>
      </c>
      <c r="X344">
        <f t="shared" si="17"/>
        <v>2015</v>
      </c>
    </row>
    <row r="345" spans="1:24">
      <c r="A345" t="s">
        <v>651</v>
      </c>
      <c r="B345">
        <v>7.8</v>
      </c>
      <c r="C345" s="1">
        <v>42119.257638888892</v>
      </c>
      <c r="D345">
        <v>8</v>
      </c>
      <c r="E345">
        <v>9</v>
      </c>
      <c r="F345" t="s">
        <v>17</v>
      </c>
      <c r="G345">
        <v>0</v>
      </c>
      <c r="H345">
        <v>2820</v>
      </c>
      <c r="I345" t="s">
        <v>46</v>
      </c>
      <c r="J345">
        <v>0</v>
      </c>
      <c r="K345">
        <v>1.857</v>
      </c>
      <c r="L345">
        <v>12</v>
      </c>
      <c r="M345" t="s">
        <v>14</v>
      </c>
      <c r="N345">
        <v>8.2200000000000006</v>
      </c>
      <c r="O345">
        <v>28.230499999999999</v>
      </c>
      <c r="P345">
        <v>84.731399999999994</v>
      </c>
      <c r="Q345" t="s">
        <v>650</v>
      </c>
      <c r="R345" t="s">
        <v>85</v>
      </c>
      <c r="S345" t="s">
        <v>642</v>
      </c>
      <c r="U345" t="str">
        <f t="shared" si="15"/>
        <v>N km direction of city</v>
      </c>
      <c r="V345" t="str">
        <f t="shared" si="16"/>
        <v>mww</v>
      </c>
      <c r="X345">
        <f t="shared" si="17"/>
        <v>2015</v>
      </c>
    </row>
    <row r="346" spans="1:24">
      <c r="A346" t="s">
        <v>652</v>
      </c>
      <c r="B346">
        <v>6.5</v>
      </c>
      <c r="C346" s="1">
        <v>42111.661111111112</v>
      </c>
      <c r="D346">
        <v>0</v>
      </c>
      <c r="E346">
        <v>5</v>
      </c>
      <c r="F346" t="s">
        <v>15</v>
      </c>
      <c r="G346">
        <v>1</v>
      </c>
      <c r="H346">
        <v>650</v>
      </c>
      <c r="I346" t="s">
        <v>46</v>
      </c>
      <c r="J346">
        <v>0</v>
      </c>
      <c r="K346">
        <v>3.702</v>
      </c>
      <c r="L346">
        <v>42</v>
      </c>
      <c r="M346" t="s">
        <v>14</v>
      </c>
      <c r="N346">
        <v>10</v>
      </c>
      <c r="O346">
        <v>-15.881500000000001</v>
      </c>
      <c r="P346">
        <v>-178.6</v>
      </c>
      <c r="Q346" t="s">
        <v>236</v>
      </c>
      <c r="U346" t="str">
        <f t="shared" si="15"/>
        <v>N km direction of city</v>
      </c>
      <c r="V346" t="str">
        <f t="shared" si="16"/>
        <v>mww</v>
      </c>
      <c r="X346">
        <f t="shared" si="17"/>
        <v>2015</v>
      </c>
    </row>
    <row r="347" spans="1:24">
      <c r="A347" t="s">
        <v>653</v>
      </c>
      <c r="B347">
        <v>6.5</v>
      </c>
      <c r="C347" s="1">
        <v>42093.366666666669</v>
      </c>
      <c r="D347">
        <v>2</v>
      </c>
      <c r="E347">
        <v>5</v>
      </c>
      <c r="F347" t="s">
        <v>15</v>
      </c>
      <c r="G347">
        <v>1</v>
      </c>
      <c r="H347">
        <v>650</v>
      </c>
      <c r="I347" t="s">
        <v>46</v>
      </c>
      <c r="J347">
        <v>0</v>
      </c>
      <c r="K347">
        <v>4.6289999999999996</v>
      </c>
      <c r="L347">
        <v>36</v>
      </c>
      <c r="M347" t="s">
        <v>14</v>
      </c>
      <c r="N347">
        <v>11</v>
      </c>
      <c r="O347">
        <v>-15.4994</v>
      </c>
      <c r="P347">
        <v>-173.029</v>
      </c>
      <c r="Q347" t="s">
        <v>73</v>
      </c>
      <c r="U347" t="str">
        <f t="shared" si="15"/>
        <v>N km direction of city</v>
      </c>
      <c r="V347" t="str">
        <f t="shared" si="16"/>
        <v>mww</v>
      </c>
      <c r="X347">
        <f t="shared" si="17"/>
        <v>2015</v>
      </c>
    </row>
    <row r="348" spans="1:24">
      <c r="A348" t="s">
        <v>654</v>
      </c>
      <c r="B348">
        <v>7.5</v>
      </c>
      <c r="C348" s="1">
        <v>42092.991666666669</v>
      </c>
      <c r="D348">
        <v>6</v>
      </c>
      <c r="E348">
        <v>7</v>
      </c>
      <c r="F348" t="s">
        <v>15</v>
      </c>
      <c r="G348">
        <v>1</v>
      </c>
      <c r="H348">
        <v>872</v>
      </c>
      <c r="I348" t="s">
        <v>46</v>
      </c>
      <c r="J348">
        <v>0</v>
      </c>
      <c r="K348">
        <v>0.66600000000000004</v>
      </c>
      <c r="L348">
        <v>19</v>
      </c>
      <c r="M348" t="s">
        <v>14</v>
      </c>
      <c r="N348">
        <v>41</v>
      </c>
      <c r="O348">
        <v>-4.7294</v>
      </c>
      <c r="P348">
        <v>152.56200000000001</v>
      </c>
      <c r="Q348" t="s">
        <v>434</v>
      </c>
      <c r="S348" t="s">
        <v>89</v>
      </c>
      <c r="U348" t="str">
        <f t="shared" si="15"/>
        <v>N km direction of city</v>
      </c>
      <c r="V348" t="str">
        <f t="shared" si="16"/>
        <v>mww</v>
      </c>
      <c r="X348">
        <f t="shared" si="17"/>
        <v>2015</v>
      </c>
    </row>
    <row r="349" spans="1:24">
      <c r="A349" t="s">
        <v>655</v>
      </c>
      <c r="B349">
        <v>7</v>
      </c>
      <c r="C349" s="1">
        <v>42062.572916666657</v>
      </c>
      <c r="D349">
        <v>4</v>
      </c>
      <c r="E349">
        <v>6</v>
      </c>
      <c r="F349" t="s">
        <v>15</v>
      </c>
      <c r="G349">
        <v>0</v>
      </c>
      <c r="H349">
        <v>760</v>
      </c>
      <c r="I349" t="s">
        <v>46</v>
      </c>
      <c r="J349">
        <v>0</v>
      </c>
      <c r="K349">
        <v>1.3620000000000001</v>
      </c>
      <c r="L349">
        <v>12</v>
      </c>
      <c r="M349" t="s">
        <v>14</v>
      </c>
      <c r="N349">
        <v>552.05999999999995</v>
      </c>
      <c r="O349">
        <v>-7.2968000000000002</v>
      </c>
      <c r="P349">
        <v>122.535</v>
      </c>
      <c r="Q349" t="s">
        <v>464</v>
      </c>
      <c r="S349" t="s">
        <v>77</v>
      </c>
      <c r="U349" t="str">
        <f t="shared" si="15"/>
        <v>N km direction of city</v>
      </c>
      <c r="V349" t="str">
        <f t="shared" si="16"/>
        <v>mww</v>
      </c>
      <c r="X349">
        <f t="shared" si="17"/>
        <v>2015</v>
      </c>
    </row>
    <row r="350" spans="1:24">
      <c r="A350" t="s">
        <v>656</v>
      </c>
      <c r="B350">
        <v>6.7</v>
      </c>
      <c r="C350" s="1">
        <v>42051.962500000001</v>
      </c>
      <c r="D350">
        <v>5</v>
      </c>
      <c r="E350">
        <v>5</v>
      </c>
      <c r="F350" t="s">
        <v>15</v>
      </c>
      <c r="G350">
        <v>1</v>
      </c>
      <c r="H350">
        <v>714</v>
      </c>
      <c r="I350" t="s">
        <v>46</v>
      </c>
      <c r="J350">
        <v>0</v>
      </c>
      <c r="K350">
        <v>1.925</v>
      </c>
      <c r="L350">
        <v>20</v>
      </c>
      <c r="M350" t="s">
        <v>14</v>
      </c>
      <c r="N350">
        <v>23</v>
      </c>
      <c r="O350">
        <v>39.855800000000002</v>
      </c>
      <c r="P350">
        <v>142.881</v>
      </c>
      <c r="Q350" t="s">
        <v>657</v>
      </c>
      <c r="U350" t="str">
        <f t="shared" si="15"/>
        <v>N km direction of city</v>
      </c>
      <c r="V350" t="str">
        <f t="shared" si="16"/>
        <v>mww</v>
      </c>
      <c r="X350">
        <f t="shared" si="17"/>
        <v>2015</v>
      </c>
    </row>
    <row r="351" spans="1:24">
      <c r="A351" t="s">
        <v>658</v>
      </c>
      <c r="B351">
        <v>6.7</v>
      </c>
      <c r="C351" s="1">
        <v>42046.789583333331</v>
      </c>
      <c r="D351">
        <v>4</v>
      </c>
      <c r="E351">
        <v>6</v>
      </c>
      <c r="F351" t="s">
        <v>15</v>
      </c>
      <c r="G351">
        <v>1</v>
      </c>
      <c r="H351">
        <v>700</v>
      </c>
      <c r="I351" t="s">
        <v>46</v>
      </c>
      <c r="J351">
        <v>0</v>
      </c>
      <c r="K351">
        <v>2.11</v>
      </c>
      <c r="L351">
        <v>16</v>
      </c>
      <c r="M351" t="s">
        <v>14</v>
      </c>
      <c r="N351">
        <v>223</v>
      </c>
      <c r="O351">
        <v>-23.112500000000001</v>
      </c>
      <c r="P351">
        <v>-66.688000000000002</v>
      </c>
      <c r="Q351" t="s">
        <v>659</v>
      </c>
      <c r="R351" t="s">
        <v>53</v>
      </c>
      <c r="S351" t="s">
        <v>54</v>
      </c>
      <c r="U351" t="str">
        <f t="shared" si="15"/>
        <v>N km direction of city</v>
      </c>
      <c r="V351" t="str">
        <f t="shared" si="16"/>
        <v>mww</v>
      </c>
      <c r="X351">
        <f t="shared" si="17"/>
        <v>2015</v>
      </c>
    </row>
    <row r="352" spans="1:24">
      <c r="A352" t="s">
        <v>660</v>
      </c>
      <c r="B352">
        <v>6.8</v>
      </c>
      <c r="C352" s="1">
        <v>42027.157638888893</v>
      </c>
      <c r="D352">
        <v>1</v>
      </c>
      <c r="E352">
        <v>4</v>
      </c>
      <c r="F352" t="s">
        <v>15</v>
      </c>
      <c r="G352">
        <v>1</v>
      </c>
      <c r="H352">
        <v>711</v>
      </c>
      <c r="I352" t="s">
        <v>46</v>
      </c>
      <c r="J352">
        <v>0</v>
      </c>
      <c r="K352">
        <v>2.0190000000000001</v>
      </c>
      <c r="L352">
        <v>13</v>
      </c>
      <c r="M352" t="s">
        <v>14</v>
      </c>
      <c r="N352">
        <v>219.96</v>
      </c>
      <c r="O352">
        <v>-17.030899999999999</v>
      </c>
      <c r="P352">
        <v>168.52</v>
      </c>
      <c r="Q352" t="s">
        <v>661</v>
      </c>
      <c r="S352" t="s">
        <v>48</v>
      </c>
      <c r="U352" t="str">
        <f t="shared" si="15"/>
        <v>N km direction of city</v>
      </c>
      <c r="V352" t="str">
        <f t="shared" si="16"/>
        <v>mww</v>
      </c>
      <c r="X352">
        <f t="shared" si="17"/>
        <v>2015</v>
      </c>
    </row>
    <row r="353" spans="1:24">
      <c r="A353" t="s">
        <v>662</v>
      </c>
      <c r="B353">
        <v>6.5</v>
      </c>
      <c r="C353" s="1">
        <v>42011.213194444441</v>
      </c>
      <c r="D353">
        <v>1</v>
      </c>
      <c r="E353">
        <v>4</v>
      </c>
      <c r="F353" t="s">
        <v>15</v>
      </c>
      <c r="G353">
        <v>1</v>
      </c>
      <c r="H353">
        <v>650</v>
      </c>
      <c r="I353" t="s">
        <v>46</v>
      </c>
      <c r="J353">
        <v>0</v>
      </c>
      <c r="K353">
        <v>4.3179999999999996</v>
      </c>
      <c r="L353">
        <v>61</v>
      </c>
      <c r="M353" t="s">
        <v>14</v>
      </c>
      <c r="N353">
        <v>8</v>
      </c>
      <c r="O353">
        <v>5.9044999999999996</v>
      </c>
      <c r="P353">
        <v>-82.657600000000002</v>
      </c>
      <c r="Q353" t="s">
        <v>663</v>
      </c>
      <c r="U353" t="str">
        <f t="shared" si="15"/>
        <v>N km direction of city</v>
      </c>
      <c r="V353" t="str">
        <f t="shared" si="16"/>
        <v>mww</v>
      </c>
      <c r="X353">
        <f t="shared" si="17"/>
        <v>2015</v>
      </c>
    </row>
    <row r="354" spans="1:24">
      <c r="A354" t="s">
        <v>664</v>
      </c>
      <c r="B354">
        <v>6.6</v>
      </c>
      <c r="C354" s="1">
        <v>41981.370833333327</v>
      </c>
      <c r="D354">
        <v>7</v>
      </c>
      <c r="E354">
        <v>6</v>
      </c>
      <c r="F354" t="s">
        <v>15</v>
      </c>
      <c r="G354">
        <v>1</v>
      </c>
      <c r="H354">
        <v>709</v>
      </c>
      <c r="I354" t="s">
        <v>46</v>
      </c>
      <c r="J354">
        <v>0</v>
      </c>
      <c r="K354">
        <v>2.4849999999999999</v>
      </c>
      <c r="L354">
        <v>43</v>
      </c>
      <c r="M354" t="s">
        <v>14</v>
      </c>
      <c r="N354">
        <v>20</v>
      </c>
      <c r="O354">
        <v>7.9401000000000002</v>
      </c>
      <c r="P354">
        <v>-82.686499999999995</v>
      </c>
      <c r="Q354" t="s">
        <v>663</v>
      </c>
      <c r="S354" t="s">
        <v>136</v>
      </c>
      <c r="U354" t="str">
        <f t="shared" si="15"/>
        <v>N km direction of city</v>
      </c>
      <c r="V354" t="str">
        <f t="shared" si="16"/>
        <v>mww</v>
      </c>
      <c r="X354">
        <f t="shared" si="17"/>
        <v>2014</v>
      </c>
    </row>
    <row r="355" spans="1:24">
      <c r="A355" t="s">
        <v>665</v>
      </c>
      <c r="B355">
        <v>6.6</v>
      </c>
      <c r="C355" s="1">
        <v>41980.056944444441</v>
      </c>
      <c r="D355">
        <v>1</v>
      </c>
      <c r="E355">
        <v>5</v>
      </c>
      <c r="F355" t="s">
        <v>15</v>
      </c>
      <c r="G355">
        <v>1</v>
      </c>
      <c r="H355">
        <v>670</v>
      </c>
      <c r="I355" t="s">
        <v>46</v>
      </c>
      <c r="J355">
        <v>0</v>
      </c>
      <c r="K355">
        <v>3.246</v>
      </c>
      <c r="L355">
        <v>12</v>
      </c>
      <c r="M355" t="s">
        <v>14</v>
      </c>
      <c r="N355">
        <v>23</v>
      </c>
      <c r="O355">
        <v>-6.5107999999999997</v>
      </c>
      <c r="P355">
        <v>154.46</v>
      </c>
      <c r="Q355" t="s">
        <v>506</v>
      </c>
      <c r="U355" t="str">
        <f t="shared" si="15"/>
        <v>N km direction of city</v>
      </c>
      <c r="V355" t="str">
        <f t="shared" si="16"/>
        <v>mww</v>
      </c>
      <c r="X355">
        <f t="shared" si="17"/>
        <v>2014</v>
      </c>
    </row>
    <row r="356" spans="1:24">
      <c r="A356" t="s">
        <v>666</v>
      </c>
      <c r="B356">
        <v>6.6</v>
      </c>
      <c r="C356" s="1">
        <v>41975.21597222222</v>
      </c>
      <c r="D356">
        <v>1</v>
      </c>
      <c r="E356">
        <v>3</v>
      </c>
      <c r="F356" t="s">
        <v>15</v>
      </c>
      <c r="G356">
        <v>0</v>
      </c>
      <c r="H356">
        <v>670</v>
      </c>
      <c r="I356" t="s">
        <v>46</v>
      </c>
      <c r="J356">
        <v>0</v>
      </c>
      <c r="K356">
        <v>2.6</v>
      </c>
      <c r="L356">
        <v>9</v>
      </c>
      <c r="M356" t="s">
        <v>14</v>
      </c>
      <c r="N356">
        <v>614</v>
      </c>
      <c r="O356">
        <v>6.1571999999999996</v>
      </c>
      <c r="P356">
        <v>123.126</v>
      </c>
      <c r="Q356" t="s">
        <v>667</v>
      </c>
      <c r="S356" t="s">
        <v>158</v>
      </c>
      <c r="U356" t="str">
        <f t="shared" si="15"/>
        <v>N km direction of city</v>
      </c>
      <c r="V356" t="str">
        <f t="shared" si="16"/>
        <v>mww</v>
      </c>
      <c r="X356">
        <f t="shared" si="17"/>
        <v>2014</v>
      </c>
    </row>
    <row r="357" spans="1:24">
      <c r="A357" t="s">
        <v>668</v>
      </c>
      <c r="B357">
        <v>6.8</v>
      </c>
      <c r="C357" s="1">
        <v>41969.606249999997</v>
      </c>
      <c r="D357">
        <v>6</v>
      </c>
      <c r="E357">
        <v>5</v>
      </c>
      <c r="F357" t="s">
        <v>15</v>
      </c>
      <c r="G357">
        <v>1</v>
      </c>
      <c r="H357">
        <v>713</v>
      </c>
      <c r="I357" t="s">
        <v>46</v>
      </c>
      <c r="J357">
        <v>0</v>
      </c>
      <c r="K357">
        <v>1.421</v>
      </c>
      <c r="L357">
        <v>19</v>
      </c>
      <c r="M357" t="s">
        <v>14</v>
      </c>
      <c r="N357">
        <v>39</v>
      </c>
      <c r="O357">
        <v>1.9603999999999999</v>
      </c>
      <c r="P357">
        <v>126.575</v>
      </c>
      <c r="Q357" t="s">
        <v>669</v>
      </c>
      <c r="S357" t="s">
        <v>77</v>
      </c>
      <c r="U357" t="str">
        <f t="shared" si="15"/>
        <v>N km direction of city</v>
      </c>
      <c r="V357" t="str">
        <f t="shared" si="16"/>
        <v>mww</v>
      </c>
      <c r="X357">
        <f t="shared" si="17"/>
        <v>2014</v>
      </c>
    </row>
    <row r="358" spans="1:24">
      <c r="A358" t="s">
        <v>670</v>
      </c>
      <c r="B358">
        <v>6.5</v>
      </c>
      <c r="C358" s="1">
        <v>41964.423611111109</v>
      </c>
      <c r="D358">
        <v>5</v>
      </c>
      <c r="E358">
        <v>5</v>
      </c>
      <c r="F358" t="s">
        <v>15</v>
      </c>
      <c r="G358">
        <v>1</v>
      </c>
      <c r="H358">
        <v>652</v>
      </c>
      <c r="I358" t="s">
        <v>46</v>
      </c>
      <c r="J358">
        <v>0</v>
      </c>
      <c r="K358">
        <v>1.5489999999999999</v>
      </c>
      <c r="L358">
        <v>9</v>
      </c>
      <c r="M358" t="s">
        <v>14</v>
      </c>
      <c r="N358">
        <v>35</v>
      </c>
      <c r="O358">
        <v>2.2999000000000001</v>
      </c>
      <c r="P358">
        <v>127.056</v>
      </c>
      <c r="Q358" t="s">
        <v>116</v>
      </c>
      <c r="S358" t="s">
        <v>77</v>
      </c>
      <c r="U358" t="str">
        <f t="shared" si="15"/>
        <v>N km direction of city</v>
      </c>
      <c r="V358" t="str">
        <f t="shared" si="16"/>
        <v>mww</v>
      </c>
      <c r="X358">
        <f t="shared" si="17"/>
        <v>2014</v>
      </c>
    </row>
    <row r="359" spans="1:24">
      <c r="A359" t="s">
        <v>671</v>
      </c>
      <c r="B359">
        <v>6.7</v>
      </c>
      <c r="C359" s="1">
        <v>41959.939583333333</v>
      </c>
      <c r="D359">
        <v>7</v>
      </c>
      <c r="E359">
        <v>4</v>
      </c>
      <c r="F359" t="s">
        <v>15</v>
      </c>
      <c r="G359">
        <v>1</v>
      </c>
      <c r="H359">
        <v>698</v>
      </c>
      <c r="I359" t="s">
        <v>46</v>
      </c>
      <c r="J359">
        <v>0</v>
      </c>
      <c r="K359">
        <v>1.079</v>
      </c>
      <c r="L359">
        <v>25</v>
      </c>
      <c r="M359" t="s">
        <v>14</v>
      </c>
      <c r="N359">
        <v>22</v>
      </c>
      <c r="O359">
        <v>-37.647799999999997</v>
      </c>
      <c r="P359">
        <v>179.66200000000001</v>
      </c>
      <c r="Q359" t="s">
        <v>255</v>
      </c>
      <c r="U359" t="str">
        <f t="shared" si="15"/>
        <v>N km direction of city</v>
      </c>
      <c r="V359" t="str">
        <f t="shared" si="16"/>
        <v>mww</v>
      </c>
      <c r="X359">
        <f t="shared" si="17"/>
        <v>2014</v>
      </c>
    </row>
    <row r="360" spans="1:24">
      <c r="A360" t="s">
        <v>672</v>
      </c>
      <c r="B360">
        <v>7.1</v>
      </c>
      <c r="C360" s="1">
        <v>41958.104861111111</v>
      </c>
      <c r="D360">
        <v>4</v>
      </c>
      <c r="E360">
        <v>6</v>
      </c>
      <c r="F360" t="s">
        <v>15</v>
      </c>
      <c r="G360">
        <v>1</v>
      </c>
      <c r="H360">
        <v>779</v>
      </c>
      <c r="I360" t="s">
        <v>46</v>
      </c>
      <c r="J360">
        <v>0</v>
      </c>
      <c r="K360">
        <v>1.397</v>
      </c>
      <c r="L360">
        <v>18</v>
      </c>
      <c r="M360" t="s">
        <v>14</v>
      </c>
      <c r="N360">
        <v>45</v>
      </c>
      <c r="O360">
        <v>1.8929</v>
      </c>
      <c r="P360">
        <v>126.52200000000001</v>
      </c>
      <c r="Q360" t="s">
        <v>669</v>
      </c>
      <c r="S360" t="s">
        <v>77</v>
      </c>
      <c r="U360" t="str">
        <f t="shared" si="15"/>
        <v>N km direction of city</v>
      </c>
      <c r="V360" t="str">
        <f t="shared" si="16"/>
        <v>mww</v>
      </c>
      <c r="X360">
        <f t="shared" si="17"/>
        <v>2014</v>
      </c>
    </row>
    <row r="361" spans="1:24">
      <c r="A361" t="s">
        <v>673</v>
      </c>
      <c r="B361">
        <v>6.6</v>
      </c>
      <c r="C361" s="1">
        <v>41950.147916666669</v>
      </c>
      <c r="D361">
        <v>2</v>
      </c>
      <c r="E361">
        <v>6</v>
      </c>
      <c r="F361" t="s">
        <v>15</v>
      </c>
      <c r="G361">
        <v>1</v>
      </c>
      <c r="H361">
        <v>671</v>
      </c>
      <c r="I361" t="s">
        <v>46</v>
      </c>
      <c r="J361">
        <v>0</v>
      </c>
      <c r="K361">
        <v>3.5569999999999999</v>
      </c>
      <c r="L361">
        <v>13</v>
      </c>
      <c r="M361" t="s">
        <v>14</v>
      </c>
      <c r="N361">
        <v>53.19</v>
      </c>
      <c r="O361">
        <v>-5.9873000000000003</v>
      </c>
      <c r="P361">
        <v>148.232</v>
      </c>
      <c r="Q361" t="s">
        <v>674</v>
      </c>
      <c r="S361" t="s">
        <v>89</v>
      </c>
      <c r="U361" t="str">
        <f t="shared" si="15"/>
        <v>N km direction of city</v>
      </c>
      <c r="V361" t="str">
        <f t="shared" si="16"/>
        <v>mww</v>
      </c>
      <c r="X361">
        <f t="shared" si="17"/>
        <v>2014</v>
      </c>
    </row>
    <row r="362" spans="1:24">
      <c r="A362" t="s">
        <v>675</v>
      </c>
      <c r="B362">
        <v>7.1</v>
      </c>
      <c r="C362" s="1">
        <v>41944.789583333331</v>
      </c>
      <c r="D362">
        <v>3</v>
      </c>
      <c r="E362">
        <v>6</v>
      </c>
      <c r="F362" t="s">
        <v>15</v>
      </c>
      <c r="G362">
        <v>1</v>
      </c>
      <c r="H362">
        <v>776</v>
      </c>
      <c r="I362" t="s">
        <v>46</v>
      </c>
      <c r="J362">
        <v>0</v>
      </c>
      <c r="K362">
        <v>4.415</v>
      </c>
      <c r="L362">
        <v>13</v>
      </c>
      <c r="M362" t="s">
        <v>14</v>
      </c>
      <c r="N362">
        <v>434</v>
      </c>
      <c r="O362">
        <v>-19.690300000000001</v>
      </c>
      <c r="P362">
        <v>-177.75899999999999</v>
      </c>
      <c r="Q362" t="s">
        <v>541</v>
      </c>
      <c r="U362" t="str">
        <f t="shared" si="15"/>
        <v>Named-region</v>
      </c>
      <c r="V362" t="str">
        <f t="shared" si="16"/>
        <v>mww</v>
      </c>
      <c r="X362">
        <f t="shared" si="17"/>
        <v>2014</v>
      </c>
    </row>
    <row r="363" spans="1:24">
      <c r="A363" t="s">
        <v>676</v>
      </c>
      <c r="B363">
        <v>7.3</v>
      </c>
      <c r="C363" s="1">
        <v>41926.160416666673</v>
      </c>
      <c r="D363">
        <v>8</v>
      </c>
      <c r="E363">
        <v>6</v>
      </c>
      <c r="F363" t="s">
        <v>18</v>
      </c>
      <c r="G363">
        <v>1</v>
      </c>
      <c r="H363">
        <v>982</v>
      </c>
      <c r="I363" t="s">
        <v>46</v>
      </c>
      <c r="J363">
        <v>0</v>
      </c>
      <c r="K363">
        <v>1.0780000000000001</v>
      </c>
      <c r="L363">
        <v>18</v>
      </c>
      <c r="M363" t="s">
        <v>14</v>
      </c>
      <c r="N363">
        <v>40</v>
      </c>
      <c r="O363">
        <v>12.526199999999999</v>
      </c>
      <c r="P363">
        <v>-88.122500000000002</v>
      </c>
      <c r="Q363" t="s">
        <v>50</v>
      </c>
      <c r="U363" t="str">
        <f t="shared" si="15"/>
        <v>N km direction of city</v>
      </c>
      <c r="V363" t="str">
        <f t="shared" si="16"/>
        <v>mww</v>
      </c>
      <c r="X363">
        <f t="shared" si="17"/>
        <v>2014</v>
      </c>
    </row>
    <row r="364" spans="1:24">
      <c r="A364" t="s">
        <v>677</v>
      </c>
      <c r="B364">
        <v>6.7</v>
      </c>
      <c r="C364" s="1">
        <v>41899.259722222218</v>
      </c>
      <c r="D364">
        <v>5</v>
      </c>
      <c r="E364">
        <v>5</v>
      </c>
      <c r="F364" t="s">
        <v>15</v>
      </c>
      <c r="G364">
        <v>1</v>
      </c>
      <c r="H364">
        <v>724</v>
      </c>
      <c r="I364" t="s">
        <v>46</v>
      </c>
      <c r="J364">
        <v>0</v>
      </c>
      <c r="K364">
        <v>0.46</v>
      </c>
      <c r="L364">
        <v>11</v>
      </c>
      <c r="M364" t="s">
        <v>14</v>
      </c>
      <c r="N364">
        <v>130</v>
      </c>
      <c r="O364">
        <v>13.764099999999999</v>
      </c>
      <c r="P364">
        <v>144.429</v>
      </c>
      <c r="Q364" t="s">
        <v>678</v>
      </c>
      <c r="U364" t="str">
        <f t="shared" si="15"/>
        <v>N km direction of city</v>
      </c>
      <c r="V364" t="str">
        <f t="shared" si="16"/>
        <v>mww</v>
      </c>
      <c r="X364">
        <f t="shared" si="17"/>
        <v>2014</v>
      </c>
    </row>
    <row r="365" spans="1:24">
      <c r="A365" t="s">
        <v>679</v>
      </c>
      <c r="B365">
        <v>6.8</v>
      </c>
      <c r="C365" s="1">
        <v>41875.972916666673</v>
      </c>
      <c r="D365">
        <v>6</v>
      </c>
      <c r="E365">
        <v>6</v>
      </c>
      <c r="F365" t="s">
        <v>15</v>
      </c>
      <c r="G365">
        <v>1</v>
      </c>
      <c r="H365">
        <v>741</v>
      </c>
      <c r="I365" t="s">
        <v>46</v>
      </c>
      <c r="J365">
        <v>0</v>
      </c>
      <c r="K365">
        <v>4.1070000000000002</v>
      </c>
      <c r="L365">
        <v>18</v>
      </c>
      <c r="M365" t="s">
        <v>14</v>
      </c>
      <c r="N365">
        <v>101</v>
      </c>
      <c r="O365">
        <v>-14.598000000000001</v>
      </c>
      <c r="P365">
        <v>-73.571399999999997</v>
      </c>
      <c r="Q365" t="s">
        <v>680</v>
      </c>
      <c r="R365" t="s">
        <v>53</v>
      </c>
      <c r="S365" t="s">
        <v>164</v>
      </c>
      <c r="U365" t="str">
        <f t="shared" si="15"/>
        <v>N km direction of city</v>
      </c>
      <c r="V365" t="str">
        <f t="shared" si="16"/>
        <v>mww</v>
      </c>
      <c r="X365">
        <f t="shared" si="17"/>
        <v>2014</v>
      </c>
    </row>
    <row r="366" spans="1:24">
      <c r="A366" t="s">
        <v>681</v>
      </c>
      <c r="B366">
        <v>6.9</v>
      </c>
      <c r="C366" s="1">
        <v>41854.015277777777</v>
      </c>
      <c r="D366">
        <v>0</v>
      </c>
      <c r="E366">
        <v>4</v>
      </c>
      <c r="F366" t="s">
        <v>15</v>
      </c>
      <c r="G366">
        <v>1</v>
      </c>
      <c r="H366">
        <v>732</v>
      </c>
      <c r="I366" t="s">
        <v>46</v>
      </c>
      <c r="J366">
        <v>0</v>
      </c>
      <c r="K366">
        <v>6.3929999999999998</v>
      </c>
      <c r="L366">
        <v>12</v>
      </c>
      <c r="M366" t="s">
        <v>14</v>
      </c>
      <c r="N366">
        <v>13</v>
      </c>
      <c r="O366">
        <v>0.82950000000000002</v>
      </c>
      <c r="P366">
        <v>146.16900000000001</v>
      </c>
      <c r="Q366" t="s">
        <v>682</v>
      </c>
      <c r="U366" t="str">
        <f t="shared" si="15"/>
        <v>Named-region</v>
      </c>
      <c r="V366" t="str">
        <f t="shared" si="16"/>
        <v>mww</v>
      </c>
      <c r="X366">
        <f t="shared" si="17"/>
        <v>2014</v>
      </c>
    </row>
    <row r="367" spans="1:24">
      <c r="A367" t="s">
        <v>540</v>
      </c>
      <c r="B367">
        <v>6.9</v>
      </c>
      <c r="C367" s="1">
        <v>41841.620833333327</v>
      </c>
      <c r="D367">
        <v>0</v>
      </c>
      <c r="E367">
        <v>6</v>
      </c>
      <c r="F367" t="s">
        <v>15</v>
      </c>
      <c r="G367">
        <v>1</v>
      </c>
      <c r="H367">
        <v>732</v>
      </c>
      <c r="I367" t="s">
        <v>46</v>
      </c>
      <c r="J367">
        <v>0</v>
      </c>
      <c r="K367">
        <v>3.9340000000000002</v>
      </c>
      <c r="L367">
        <v>15</v>
      </c>
      <c r="M367" t="s">
        <v>14</v>
      </c>
      <c r="N367">
        <v>615.41999999999996</v>
      </c>
      <c r="O367">
        <v>-19.801500000000001</v>
      </c>
      <c r="P367">
        <v>-178.4</v>
      </c>
      <c r="Q367" t="s">
        <v>541</v>
      </c>
      <c r="S367" t="s">
        <v>128</v>
      </c>
      <c r="U367" t="str">
        <f t="shared" si="15"/>
        <v>Named-region</v>
      </c>
      <c r="V367" t="str">
        <f t="shared" si="16"/>
        <v>mww</v>
      </c>
      <c r="X367">
        <f t="shared" si="17"/>
        <v>2014</v>
      </c>
    </row>
    <row r="368" spans="1:24">
      <c r="A368" t="s">
        <v>683</v>
      </c>
      <c r="B368">
        <v>6.5</v>
      </c>
      <c r="C368" s="1">
        <v>41831.806944444441</v>
      </c>
      <c r="D368">
        <v>5</v>
      </c>
      <c r="E368">
        <v>4</v>
      </c>
      <c r="F368" t="s">
        <v>15</v>
      </c>
      <c r="G368">
        <v>1</v>
      </c>
      <c r="H368">
        <v>706</v>
      </c>
      <c r="I368" t="s">
        <v>46</v>
      </c>
      <c r="J368">
        <v>0</v>
      </c>
      <c r="K368">
        <v>2.4209999999999998</v>
      </c>
      <c r="L368">
        <v>9</v>
      </c>
      <c r="M368" t="s">
        <v>14</v>
      </c>
      <c r="N368">
        <v>20</v>
      </c>
      <c r="O368">
        <v>37.005200000000002</v>
      </c>
      <c r="P368">
        <v>142.452</v>
      </c>
      <c r="Q368" t="s">
        <v>175</v>
      </c>
      <c r="U368" t="str">
        <f t="shared" si="15"/>
        <v>N km direction of city</v>
      </c>
      <c r="V368" t="str">
        <f t="shared" si="16"/>
        <v>mww</v>
      </c>
      <c r="X368">
        <f t="shared" si="17"/>
        <v>2014</v>
      </c>
    </row>
    <row r="369" spans="1:24">
      <c r="A369" t="s">
        <v>684</v>
      </c>
      <c r="B369">
        <v>6.9</v>
      </c>
      <c r="C369" s="1">
        <v>41827.474305555559</v>
      </c>
      <c r="D369">
        <v>8</v>
      </c>
      <c r="E369">
        <v>7</v>
      </c>
      <c r="F369" t="s">
        <v>16</v>
      </c>
      <c r="G369">
        <v>1</v>
      </c>
      <c r="H369">
        <v>1079</v>
      </c>
      <c r="I369" t="s">
        <v>46</v>
      </c>
      <c r="J369">
        <v>0</v>
      </c>
      <c r="K369">
        <v>0.26300000000000001</v>
      </c>
      <c r="L369">
        <v>51</v>
      </c>
      <c r="M369" t="s">
        <v>14</v>
      </c>
      <c r="N369">
        <v>53</v>
      </c>
      <c r="O369">
        <v>14.724</v>
      </c>
      <c r="P369">
        <v>-92.461399999999998</v>
      </c>
      <c r="Q369" t="s">
        <v>368</v>
      </c>
      <c r="S369" t="s">
        <v>140</v>
      </c>
      <c r="U369" t="str">
        <f t="shared" si="15"/>
        <v>N km direction of city</v>
      </c>
      <c r="V369" t="str">
        <f t="shared" si="16"/>
        <v>mww</v>
      </c>
      <c r="X369">
        <f t="shared" si="17"/>
        <v>2014</v>
      </c>
    </row>
    <row r="370" spans="1:24">
      <c r="A370" t="s">
        <v>685</v>
      </c>
      <c r="B370">
        <v>6.5</v>
      </c>
      <c r="C370" s="1">
        <v>41824.625</v>
      </c>
      <c r="D370">
        <v>0</v>
      </c>
      <c r="E370">
        <v>4</v>
      </c>
      <c r="F370" t="s">
        <v>15</v>
      </c>
      <c r="G370">
        <v>1</v>
      </c>
      <c r="H370">
        <v>650</v>
      </c>
      <c r="I370" t="s">
        <v>46</v>
      </c>
      <c r="J370">
        <v>0</v>
      </c>
      <c r="K370">
        <v>2.1240000000000001</v>
      </c>
      <c r="L370">
        <v>15</v>
      </c>
      <c r="M370" t="s">
        <v>14</v>
      </c>
      <c r="N370">
        <v>20</v>
      </c>
      <c r="O370">
        <v>-6.2304000000000004</v>
      </c>
      <c r="P370">
        <v>152.80699999999999</v>
      </c>
      <c r="Q370" t="s">
        <v>434</v>
      </c>
      <c r="U370" t="str">
        <f t="shared" si="15"/>
        <v>N km direction of city</v>
      </c>
      <c r="V370" t="str">
        <f t="shared" si="16"/>
        <v>mww</v>
      </c>
      <c r="X370">
        <f t="shared" si="17"/>
        <v>2014</v>
      </c>
    </row>
    <row r="371" spans="1:24">
      <c r="A371" t="s">
        <v>686</v>
      </c>
      <c r="B371">
        <v>6.7</v>
      </c>
      <c r="C371" s="1">
        <v>41819.71875</v>
      </c>
      <c r="D371">
        <v>0</v>
      </c>
      <c r="E371">
        <v>5</v>
      </c>
      <c r="F371" t="s">
        <v>15</v>
      </c>
      <c r="G371">
        <v>1</v>
      </c>
      <c r="H371">
        <v>691</v>
      </c>
      <c r="I371" t="s">
        <v>46</v>
      </c>
      <c r="J371">
        <v>0</v>
      </c>
      <c r="K371">
        <v>6.7130000000000001</v>
      </c>
      <c r="L371">
        <v>45</v>
      </c>
      <c r="M371" t="s">
        <v>14</v>
      </c>
      <c r="N371">
        <v>18</v>
      </c>
      <c r="O371">
        <v>-14.9831</v>
      </c>
      <c r="P371">
        <v>-175.51</v>
      </c>
      <c r="Q371" t="s">
        <v>687</v>
      </c>
      <c r="U371" t="str">
        <f t="shared" si="15"/>
        <v>N km direction of city</v>
      </c>
      <c r="V371" t="str">
        <f t="shared" si="16"/>
        <v>mww</v>
      </c>
      <c r="X371">
        <f t="shared" si="17"/>
        <v>2014</v>
      </c>
    </row>
    <row r="372" spans="1:24">
      <c r="A372" t="s">
        <v>217</v>
      </c>
      <c r="B372">
        <v>6.9</v>
      </c>
      <c r="C372" s="1">
        <v>41819.327777777777</v>
      </c>
      <c r="D372">
        <v>0</v>
      </c>
      <c r="E372">
        <v>5</v>
      </c>
      <c r="F372" t="s">
        <v>15</v>
      </c>
      <c r="G372">
        <v>1</v>
      </c>
      <c r="H372">
        <v>732</v>
      </c>
      <c r="I372" t="s">
        <v>46</v>
      </c>
      <c r="J372">
        <v>0</v>
      </c>
      <c r="K372">
        <v>4.8380000000000001</v>
      </c>
      <c r="L372">
        <v>25</v>
      </c>
      <c r="M372" t="s">
        <v>14</v>
      </c>
      <c r="N372">
        <v>8</v>
      </c>
      <c r="O372">
        <v>-55.470300000000002</v>
      </c>
      <c r="P372">
        <v>-28.366900000000001</v>
      </c>
      <c r="Q372" t="s">
        <v>213</v>
      </c>
      <c r="U372" t="str">
        <f t="shared" si="15"/>
        <v>Named-region</v>
      </c>
      <c r="V372" t="str">
        <f t="shared" si="16"/>
        <v>mww</v>
      </c>
      <c r="X372">
        <f t="shared" si="17"/>
        <v>2014</v>
      </c>
    </row>
    <row r="373" spans="1:24">
      <c r="A373" t="s">
        <v>688</v>
      </c>
      <c r="B373">
        <v>7.9</v>
      </c>
      <c r="C373" s="1">
        <v>41813.870138888888</v>
      </c>
      <c r="D373">
        <v>6</v>
      </c>
      <c r="E373">
        <v>8</v>
      </c>
      <c r="F373" t="s">
        <v>15</v>
      </c>
      <c r="G373">
        <v>1</v>
      </c>
      <c r="H373">
        <v>963</v>
      </c>
      <c r="I373" t="s">
        <v>46</v>
      </c>
      <c r="J373">
        <v>0</v>
      </c>
      <c r="K373">
        <v>0.13300000000000001</v>
      </c>
      <c r="L373">
        <v>22</v>
      </c>
      <c r="M373" t="s">
        <v>14</v>
      </c>
      <c r="N373">
        <v>109</v>
      </c>
      <c r="O373">
        <v>51.848599999999998</v>
      </c>
      <c r="P373">
        <v>178.73500000000001</v>
      </c>
      <c r="Q373" t="s">
        <v>689</v>
      </c>
      <c r="R373" t="s">
        <v>139</v>
      </c>
      <c r="S373" t="s">
        <v>204</v>
      </c>
      <c r="U373" t="str">
        <f t="shared" si="15"/>
        <v>Named-region</v>
      </c>
      <c r="V373" t="str">
        <f t="shared" si="16"/>
        <v>mww</v>
      </c>
      <c r="X373">
        <f t="shared" si="17"/>
        <v>2014</v>
      </c>
    </row>
    <row r="374" spans="1:24">
      <c r="A374" t="s">
        <v>690</v>
      </c>
      <c r="B374">
        <v>6.7</v>
      </c>
      <c r="C374" s="1">
        <v>41813.837500000001</v>
      </c>
      <c r="D374">
        <v>0</v>
      </c>
      <c r="E374">
        <v>5</v>
      </c>
      <c r="F374" t="s">
        <v>15</v>
      </c>
      <c r="G374">
        <v>0</v>
      </c>
      <c r="H374">
        <v>691</v>
      </c>
      <c r="I374" t="s">
        <v>46</v>
      </c>
      <c r="J374">
        <v>0</v>
      </c>
      <c r="K374">
        <v>0.748</v>
      </c>
      <c r="L374">
        <v>43</v>
      </c>
      <c r="M374" t="s">
        <v>13</v>
      </c>
      <c r="N374">
        <v>26.59</v>
      </c>
      <c r="O374">
        <v>-29.941400000000002</v>
      </c>
      <c r="P374">
        <v>-177.607</v>
      </c>
      <c r="Q374" t="s">
        <v>79</v>
      </c>
      <c r="U374" t="str">
        <f t="shared" si="15"/>
        <v>Named-region</v>
      </c>
      <c r="V374" t="str">
        <f t="shared" si="16"/>
        <v>mwc</v>
      </c>
      <c r="X374">
        <f t="shared" si="17"/>
        <v>2014</v>
      </c>
    </row>
    <row r="375" spans="1:24">
      <c r="A375" t="s">
        <v>234</v>
      </c>
      <c r="B375">
        <v>6.5</v>
      </c>
      <c r="C375" s="1">
        <v>41813.806250000001</v>
      </c>
      <c r="D375">
        <v>0</v>
      </c>
      <c r="E375">
        <v>5</v>
      </c>
      <c r="F375" t="s">
        <v>15</v>
      </c>
      <c r="G375">
        <v>0</v>
      </c>
      <c r="H375">
        <v>650</v>
      </c>
      <c r="I375" t="s">
        <v>46</v>
      </c>
      <c r="J375">
        <v>0</v>
      </c>
      <c r="K375">
        <v>0.77800000000000002</v>
      </c>
      <c r="L375">
        <v>30</v>
      </c>
      <c r="M375" t="s">
        <v>13</v>
      </c>
      <c r="N375">
        <v>10</v>
      </c>
      <c r="O375">
        <v>-29.937899999999999</v>
      </c>
      <c r="P375">
        <v>-177.51599999999999</v>
      </c>
      <c r="Q375" t="s">
        <v>79</v>
      </c>
      <c r="U375" t="str">
        <f t="shared" si="15"/>
        <v>Named-region</v>
      </c>
      <c r="V375" t="str">
        <f t="shared" si="16"/>
        <v>mwc</v>
      </c>
      <c r="X375">
        <f t="shared" si="17"/>
        <v>2014</v>
      </c>
    </row>
    <row r="376" spans="1:24">
      <c r="A376" t="s">
        <v>99</v>
      </c>
      <c r="B376">
        <v>6.9</v>
      </c>
      <c r="C376" s="1">
        <v>41813.804861111108</v>
      </c>
      <c r="D376">
        <v>0</v>
      </c>
      <c r="E376">
        <v>5</v>
      </c>
      <c r="F376" t="s">
        <v>15</v>
      </c>
      <c r="G376">
        <v>1</v>
      </c>
      <c r="H376">
        <v>732</v>
      </c>
      <c r="I376" t="s">
        <v>46</v>
      </c>
      <c r="J376">
        <v>0</v>
      </c>
      <c r="K376">
        <v>0.751</v>
      </c>
      <c r="L376">
        <v>35</v>
      </c>
      <c r="M376" t="s">
        <v>14</v>
      </c>
      <c r="N376">
        <v>20</v>
      </c>
      <c r="O376">
        <v>-29.9772</v>
      </c>
      <c r="P376">
        <v>-177.72499999999999</v>
      </c>
      <c r="Q376" t="s">
        <v>79</v>
      </c>
      <c r="U376" t="str">
        <f t="shared" si="15"/>
        <v>Named-region</v>
      </c>
      <c r="V376" t="str">
        <f t="shared" si="16"/>
        <v>mww</v>
      </c>
      <c r="X376">
        <f t="shared" si="17"/>
        <v>2014</v>
      </c>
    </row>
    <row r="377" spans="1:24">
      <c r="A377" t="s">
        <v>691</v>
      </c>
      <c r="B377">
        <v>6.9</v>
      </c>
      <c r="C377" s="1">
        <v>41783.392361111109</v>
      </c>
      <c r="D377">
        <v>9</v>
      </c>
      <c r="E377">
        <v>7</v>
      </c>
      <c r="F377" t="s">
        <v>15</v>
      </c>
      <c r="G377">
        <v>0</v>
      </c>
      <c r="H377">
        <v>951</v>
      </c>
      <c r="I377" t="s">
        <v>46</v>
      </c>
      <c r="J377">
        <v>0</v>
      </c>
      <c r="K377">
        <v>0.40200000000000002</v>
      </c>
      <c r="L377">
        <v>25</v>
      </c>
      <c r="M377" t="s">
        <v>14</v>
      </c>
      <c r="N377">
        <v>6.43</v>
      </c>
      <c r="O377">
        <v>40.289299999999997</v>
      </c>
      <c r="P377">
        <v>25.3889</v>
      </c>
      <c r="Q377" t="s">
        <v>692</v>
      </c>
      <c r="R377" t="s">
        <v>267</v>
      </c>
      <c r="S377" t="s">
        <v>268</v>
      </c>
      <c r="U377" t="str">
        <f t="shared" si="15"/>
        <v>N km direction of city</v>
      </c>
      <c r="V377" t="str">
        <f t="shared" si="16"/>
        <v>mww</v>
      </c>
      <c r="X377">
        <f t="shared" si="17"/>
        <v>2014</v>
      </c>
    </row>
    <row r="378" spans="1:24">
      <c r="A378" t="s">
        <v>693</v>
      </c>
      <c r="B378">
        <v>6.5</v>
      </c>
      <c r="C378" s="1">
        <v>41772.274305555547</v>
      </c>
      <c r="D378">
        <v>7</v>
      </c>
      <c r="E378">
        <v>5</v>
      </c>
      <c r="F378" t="s">
        <v>15</v>
      </c>
      <c r="G378">
        <v>1</v>
      </c>
      <c r="H378">
        <v>694</v>
      </c>
      <c r="I378" t="s">
        <v>46</v>
      </c>
      <c r="J378">
        <v>0</v>
      </c>
      <c r="K378">
        <v>3.121</v>
      </c>
      <c r="L378">
        <v>33</v>
      </c>
      <c r="M378" t="s">
        <v>14</v>
      </c>
      <c r="N378">
        <v>10</v>
      </c>
      <c r="O378">
        <v>7.2096</v>
      </c>
      <c r="P378">
        <v>-82.304500000000004</v>
      </c>
      <c r="Q378" t="s">
        <v>663</v>
      </c>
      <c r="U378" t="str">
        <f t="shared" si="15"/>
        <v>N km direction of city</v>
      </c>
      <c r="V378" t="str">
        <f t="shared" si="16"/>
        <v>mww</v>
      </c>
      <c r="X378">
        <f t="shared" si="17"/>
        <v>2014</v>
      </c>
    </row>
    <row r="379" spans="1:24">
      <c r="A379" t="s">
        <v>694</v>
      </c>
      <c r="B379">
        <v>6.6</v>
      </c>
      <c r="C379" s="1">
        <v>41760.275000000001</v>
      </c>
      <c r="D379">
        <v>0</v>
      </c>
      <c r="E379">
        <v>5</v>
      </c>
      <c r="F379" t="s">
        <v>15</v>
      </c>
      <c r="G379">
        <v>1</v>
      </c>
      <c r="H379">
        <v>670</v>
      </c>
      <c r="I379" t="s">
        <v>46</v>
      </c>
      <c r="J379">
        <v>0</v>
      </c>
      <c r="K379">
        <v>3.34</v>
      </c>
      <c r="L379">
        <v>10</v>
      </c>
      <c r="M379" t="s">
        <v>14</v>
      </c>
      <c r="N379">
        <v>106</v>
      </c>
      <c r="O379">
        <v>-21.4542</v>
      </c>
      <c r="P379">
        <v>170.35499999999999</v>
      </c>
      <c r="Q379" t="s">
        <v>148</v>
      </c>
      <c r="U379" t="str">
        <f t="shared" si="15"/>
        <v>N km direction of city</v>
      </c>
      <c r="V379" t="str">
        <f t="shared" si="16"/>
        <v>mww</v>
      </c>
      <c r="X379">
        <f t="shared" si="17"/>
        <v>2014</v>
      </c>
    </row>
    <row r="380" spans="1:24">
      <c r="A380" t="s">
        <v>695</v>
      </c>
      <c r="B380">
        <v>6.5</v>
      </c>
      <c r="C380" s="1">
        <v>41753.131944444453</v>
      </c>
      <c r="D380">
        <v>4</v>
      </c>
      <c r="E380">
        <v>6</v>
      </c>
      <c r="F380" t="s">
        <v>15</v>
      </c>
      <c r="G380">
        <v>1</v>
      </c>
      <c r="H380">
        <v>838</v>
      </c>
      <c r="I380" t="s">
        <v>46</v>
      </c>
      <c r="J380">
        <v>0</v>
      </c>
      <c r="K380">
        <v>0</v>
      </c>
      <c r="L380">
        <v>0</v>
      </c>
      <c r="M380" t="s">
        <v>14</v>
      </c>
      <c r="N380">
        <v>10</v>
      </c>
      <c r="O380">
        <v>49.638800000000003</v>
      </c>
      <c r="P380">
        <v>-127.732</v>
      </c>
      <c r="Q380" t="s">
        <v>696</v>
      </c>
      <c r="U380" t="str">
        <f t="shared" si="15"/>
        <v>N km direction of city</v>
      </c>
      <c r="V380" t="str">
        <f t="shared" si="16"/>
        <v>mww</v>
      </c>
      <c r="X380">
        <f t="shared" si="17"/>
        <v>2014</v>
      </c>
    </row>
    <row r="381" spans="1:24">
      <c r="A381" t="s">
        <v>697</v>
      </c>
      <c r="B381">
        <v>7.5</v>
      </c>
      <c r="C381" s="1">
        <v>41748.561111111107</v>
      </c>
      <c r="D381">
        <v>0</v>
      </c>
      <c r="E381">
        <v>6</v>
      </c>
      <c r="F381" t="s">
        <v>15</v>
      </c>
      <c r="G381">
        <v>1</v>
      </c>
      <c r="H381">
        <v>865</v>
      </c>
      <c r="I381" t="s">
        <v>46</v>
      </c>
      <c r="J381">
        <v>0</v>
      </c>
      <c r="K381">
        <v>3.82</v>
      </c>
      <c r="L381">
        <v>16</v>
      </c>
      <c r="M381" t="s">
        <v>14</v>
      </c>
      <c r="N381">
        <v>43.37</v>
      </c>
      <c r="O381">
        <v>-6.7546999999999997</v>
      </c>
      <c r="P381">
        <v>155.024</v>
      </c>
      <c r="Q381" t="s">
        <v>506</v>
      </c>
      <c r="U381" t="str">
        <f t="shared" si="15"/>
        <v>N km direction of city</v>
      </c>
      <c r="V381" t="str">
        <f t="shared" si="16"/>
        <v>mww</v>
      </c>
      <c r="X381">
        <f t="shared" si="17"/>
        <v>2014</v>
      </c>
    </row>
    <row r="382" spans="1:24">
      <c r="A382" t="s">
        <v>698</v>
      </c>
      <c r="B382">
        <v>6.6</v>
      </c>
      <c r="C382" s="1">
        <v>41748.044444444437</v>
      </c>
      <c r="D382">
        <v>0</v>
      </c>
      <c r="E382">
        <v>6</v>
      </c>
      <c r="F382" t="s">
        <v>15</v>
      </c>
      <c r="G382">
        <v>1</v>
      </c>
      <c r="H382">
        <v>670</v>
      </c>
      <c r="I382" t="s">
        <v>46</v>
      </c>
      <c r="J382">
        <v>0</v>
      </c>
      <c r="K382">
        <v>3.8029999999999999</v>
      </c>
      <c r="L382">
        <v>11</v>
      </c>
      <c r="M382" t="s">
        <v>14</v>
      </c>
      <c r="N382">
        <v>29</v>
      </c>
      <c r="O382">
        <v>-6.6558000000000002</v>
      </c>
      <c r="P382">
        <v>155.08699999999999</v>
      </c>
      <c r="Q382" t="s">
        <v>506</v>
      </c>
      <c r="S382" t="s">
        <v>89</v>
      </c>
      <c r="U382" t="str">
        <f t="shared" si="15"/>
        <v>N km direction of city</v>
      </c>
      <c r="V382" t="str">
        <f t="shared" si="16"/>
        <v>mww</v>
      </c>
      <c r="X382">
        <f t="shared" si="17"/>
        <v>2014</v>
      </c>
    </row>
    <row r="383" spans="1:24">
      <c r="A383" t="s">
        <v>699</v>
      </c>
      <c r="B383">
        <v>7.2</v>
      </c>
      <c r="C383" s="1">
        <v>41747.602083333331</v>
      </c>
      <c r="D383">
        <v>8</v>
      </c>
      <c r="E383">
        <v>7</v>
      </c>
      <c r="F383" t="s">
        <v>18</v>
      </c>
      <c r="G383">
        <v>1</v>
      </c>
      <c r="H383">
        <v>1017</v>
      </c>
      <c r="I383" t="s">
        <v>46</v>
      </c>
      <c r="J383">
        <v>0</v>
      </c>
      <c r="K383">
        <v>2.25</v>
      </c>
      <c r="L383">
        <v>46</v>
      </c>
      <c r="M383" t="s">
        <v>14</v>
      </c>
      <c r="N383">
        <v>24</v>
      </c>
      <c r="O383">
        <v>17.396999999999998</v>
      </c>
      <c r="P383">
        <v>-100.97199999999999</v>
      </c>
      <c r="Q383" t="s">
        <v>700</v>
      </c>
      <c r="R383" t="s">
        <v>139</v>
      </c>
      <c r="S383" t="s">
        <v>140</v>
      </c>
      <c r="U383" t="str">
        <f t="shared" si="15"/>
        <v>N km direction of city</v>
      </c>
      <c r="V383" t="str">
        <f t="shared" si="16"/>
        <v>mww</v>
      </c>
      <c r="X383">
        <f t="shared" si="17"/>
        <v>2014</v>
      </c>
    </row>
    <row r="384" spans="1:24">
      <c r="A384" t="s">
        <v>701</v>
      </c>
      <c r="B384">
        <v>6.6</v>
      </c>
      <c r="C384" s="1">
        <v>41742.558333333327</v>
      </c>
      <c r="D384">
        <v>0</v>
      </c>
      <c r="E384">
        <v>6</v>
      </c>
      <c r="F384" t="s">
        <v>15</v>
      </c>
      <c r="G384">
        <v>0</v>
      </c>
      <c r="H384">
        <v>670</v>
      </c>
      <c r="I384" t="s">
        <v>46</v>
      </c>
      <c r="J384">
        <v>0</v>
      </c>
      <c r="K384">
        <v>2.6659999999999999</v>
      </c>
      <c r="L384">
        <v>22</v>
      </c>
      <c r="M384" t="s">
        <v>14</v>
      </c>
      <c r="N384">
        <v>10</v>
      </c>
      <c r="O384">
        <v>-11.128399999999999</v>
      </c>
      <c r="P384">
        <v>162.05199999999999</v>
      </c>
      <c r="Q384" t="s">
        <v>406</v>
      </c>
      <c r="U384" t="str">
        <f t="shared" si="15"/>
        <v>N km direction of city</v>
      </c>
      <c r="V384" t="str">
        <f t="shared" si="16"/>
        <v>mww</v>
      </c>
      <c r="X384">
        <f t="shared" si="17"/>
        <v>2014</v>
      </c>
    </row>
    <row r="385" spans="1:24">
      <c r="A385" t="s">
        <v>702</v>
      </c>
      <c r="B385">
        <v>7.4</v>
      </c>
      <c r="C385" s="1">
        <v>41742.525000000001</v>
      </c>
      <c r="D385">
        <v>0</v>
      </c>
      <c r="E385">
        <v>6</v>
      </c>
      <c r="F385" t="s">
        <v>15</v>
      </c>
      <c r="G385">
        <v>1</v>
      </c>
      <c r="H385">
        <v>842</v>
      </c>
      <c r="I385" t="s">
        <v>46</v>
      </c>
      <c r="J385">
        <v>0</v>
      </c>
      <c r="K385">
        <v>2.8849999999999998</v>
      </c>
      <c r="L385">
        <v>17</v>
      </c>
      <c r="M385" t="s">
        <v>14</v>
      </c>
      <c r="N385">
        <v>39</v>
      </c>
      <c r="O385">
        <v>-11.4633</v>
      </c>
      <c r="P385">
        <v>162.05099999999999</v>
      </c>
      <c r="Q385" t="s">
        <v>406</v>
      </c>
      <c r="U385" t="str">
        <f t="shared" si="15"/>
        <v>N km direction of city</v>
      </c>
      <c r="V385" t="str">
        <f t="shared" si="16"/>
        <v>mww</v>
      </c>
      <c r="X385">
        <f t="shared" si="17"/>
        <v>2014</v>
      </c>
    </row>
    <row r="386" spans="1:24">
      <c r="A386" t="s">
        <v>703</v>
      </c>
      <c r="B386">
        <v>7.6</v>
      </c>
      <c r="C386" s="1">
        <v>41741.843055555553</v>
      </c>
      <c r="D386">
        <v>0</v>
      </c>
      <c r="E386">
        <v>7</v>
      </c>
      <c r="F386" t="s">
        <v>15</v>
      </c>
      <c r="G386">
        <v>1</v>
      </c>
      <c r="H386">
        <v>889</v>
      </c>
      <c r="I386" t="s">
        <v>46</v>
      </c>
      <c r="J386">
        <v>0</v>
      </c>
      <c r="K386">
        <v>2.8279999999999998</v>
      </c>
      <c r="L386">
        <v>13</v>
      </c>
      <c r="M386" t="s">
        <v>14</v>
      </c>
      <c r="N386">
        <v>22.56</v>
      </c>
      <c r="O386">
        <v>-11.270099999999999</v>
      </c>
      <c r="P386">
        <v>162.148</v>
      </c>
      <c r="Q386" t="s">
        <v>406</v>
      </c>
      <c r="U386" t="str">
        <f t="shared" ref="U386:U449" si="18">IF(ISNUMBER(SEARCH("km",A386)),"N km direction of city","Named-region")</f>
        <v>N km direction of city</v>
      </c>
      <c r="V386" t="str">
        <f t="shared" ref="V386:V449" si="19">LOWER(M386)</f>
        <v>mww</v>
      </c>
      <c r="X386">
        <f t="shared" ref="X386:X449" si="20">YEAR(C386)</f>
        <v>2014</v>
      </c>
    </row>
    <row r="387" spans="1:24">
      <c r="A387" t="s">
        <v>704</v>
      </c>
      <c r="B387">
        <v>6.6</v>
      </c>
      <c r="C387" s="1">
        <v>41740.853472222218</v>
      </c>
      <c r="D387">
        <v>6</v>
      </c>
      <c r="E387">
        <v>5</v>
      </c>
      <c r="F387" t="s">
        <v>15</v>
      </c>
      <c r="G387">
        <v>1</v>
      </c>
      <c r="H387">
        <v>677</v>
      </c>
      <c r="I387" t="s">
        <v>46</v>
      </c>
      <c r="J387">
        <v>0</v>
      </c>
      <c r="K387">
        <v>0.76100000000000001</v>
      </c>
      <c r="L387">
        <v>20</v>
      </c>
      <c r="M387" t="s">
        <v>14</v>
      </c>
      <c r="N387">
        <v>135</v>
      </c>
      <c r="O387">
        <v>11.641999999999999</v>
      </c>
      <c r="P387">
        <v>-85.877899999999997</v>
      </c>
      <c r="Q387" t="s">
        <v>705</v>
      </c>
      <c r="S387" t="s">
        <v>706</v>
      </c>
      <c r="U387" t="str">
        <f t="shared" si="18"/>
        <v>N km direction of city</v>
      </c>
      <c r="V387" t="str">
        <f t="shared" si="19"/>
        <v>mww</v>
      </c>
      <c r="X387">
        <f t="shared" si="20"/>
        <v>2014</v>
      </c>
    </row>
    <row r="388" spans="1:24">
      <c r="A388" t="s">
        <v>707</v>
      </c>
      <c r="B388">
        <v>6.5</v>
      </c>
      <c r="C388" s="1">
        <v>41740.344444444447</v>
      </c>
      <c r="D388">
        <v>0</v>
      </c>
      <c r="E388">
        <v>6</v>
      </c>
      <c r="F388" t="s">
        <v>15</v>
      </c>
      <c r="G388">
        <v>1</v>
      </c>
      <c r="H388">
        <v>650</v>
      </c>
      <c r="I388" t="s">
        <v>46</v>
      </c>
      <c r="J388">
        <v>0</v>
      </c>
      <c r="K388">
        <v>3.7869999999999999</v>
      </c>
      <c r="L388">
        <v>16</v>
      </c>
      <c r="M388" t="s">
        <v>14</v>
      </c>
      <c r="N388">
        <v>20</v>
      </c>
      <c r="O388">
        <v>-6.7877999999999998</v>
      </c>
      <c r="P388">
        <v>154.94999999999999</v>
      </c>
      <c r="Q388" t="s">
        <v>506</v>
      </c>
      <c r="U388" t="str">
        <f t="shared" si="18"/>
        <v>N km direction of city</v>
      </c>
      <c r="V388" t="str">
        <f t="shared" si="19"/>
        <v>mww</v>
      </c>
      <c r="X388">
        <f t="shared" si="20"/>
        <v>2014</v>
      </c>
    </row>
    <row r="389" spans="1:24">
      <c r="A389" t="s">
        <v>708</v>
      </c>
      <c r="B389">
        <v>7.1</v>
      </c>
      <c r="C389" s="1">
        <v>41740.296527777777</v>
      </c>
      <c r="D389">
        <v>0</v>
      </c>
      <c r="E389">
        <v>7</v>
      </c>
      <c r="F389" t="s">
        <v>15</v>
      </c>
      <c r="G389">
        <v>1</v>
      </c>
      <c r="H389">
        <v>776</v>
      </c>
      <c r="I389" t="s">
        <v>46</v>
      </c>
      <c r="J389">
        <v>0</v>
      </c>
      <c r="K389">
        <v>3.7290000000000001</v>
      </c>
      <c r="L389">
        <v>21</v>
      </c>
      <c r="M389" t="s">
        <v>14</v>
      </c>
      <c r="N389">
        <v>60.53</v>
      </c>
      <c r="O389">
        <v>-6.5857999999999999</v>
      </c>
      <c r="P389">
        <v>155.048</v>
      </c>
      <c r="Q389" t="s">
        <v>506</v>
      </c>
      <c r="S389" t="s">
        <v>89</v>
      </c>
      <c r="U389" t="str">
        <f t="shared" si="18"/>
        <v>N km direction of city</v>
      </c>
      <c r="V389" t="str">
        <f t="shared" si="19"/>
        <v>mww</v>
      </c>
      <c r="X389">
        <f t="shared" si="20"/>
        <v>2014</v>
      </c>
    </row>
    <row r="390" spans="1:24">
      <c r="A390" t="s">
        <v>709</v>
      </c>
      <c r="B390">
        <v>7.7</v>
      </c>
      <c r="C390" s="1">
        <v>41732.113194444442</v>
      </c>
      <c r="D390">
        <v>8</v>
      </c>
      <c r="E390">
        <v>9</v>
      </c>
      <c r="F390" t="s">
        <v>18</v>
      </c>
      <c r="G390">
        <v>1</v>
      </c>
      <c r="H390">
        <v>1057</v>
      </c>
      <c r="I390" t="s">
        <v>46</v>
      </c>
      <c r="J390">
        <v>0</v>
      </c>
      <c r="K390">
        <v>1.0289999999999999</v>
      </c>
      <c r="L390">
        <v>44</v>
      </c>
      <c r="M390" t="s">
        <v>14</v>
      </c>
      <c r="N390">
        <v>22.4</v>
      </c>
      <c r="O390">
        <v>-20.570900000000002</v>
      </c>
      <c r="P390">
        <v>-70.493099999999998</v>
      </c>
      <c r="Q390" t="s">
        <v>710</v>
      </c>
      <c r="U390" t="str">
        <f t="shared" si="18"/>
        <v>N km direction of city</v>
      </c>
      <c r="V390" t="str">
        <f t="shared" si="19"/>
        <v>mww</v>
      </c>
      <c r="X390">
        <f t="shared" si="20"/>
        <v>2014</v>
      </c>
    </row>
    <row r="391" spans="1:24">
      <c r="A391" t="s">
        <v>711</v>
      </c>
      <c r="B391">
        <v>6.5</v>
      </c>
      <c r="C391" s="1">
        <v>41732.081944444442</v>
      </c>
      <c r="D391">
        <v>7</v>
      </c>
      <c r="E391">
        <v>7</v>
      </c>
      <c r="F391" t="s">
        <v>15</v>
      </c>
      <c r="G391">
        <v>0</v>
      </c>
      <c r="H391">
        <v>670</v>
      </c>
      <c r="I391" t="s">
        <v>46</v>
      </c>
      <c r="J391">
        <v>0</v>
      </c>
      <c r="K391">
        <v>0.82799999999999996</v>
      </c>
      <c r="L391">
        <v>82</v>
      </c>
      <c r="M391" t="s">
        <v>14</v>
      </c>
      <c r="N391">
        <v>24.07</v>
      </c>
      <c r="O391">
        <v>-20.311299999999999</v>
      </c>
      <c r="P391">
        <v>-70.575599999999994</v>
      </c>
      <c r="Q391" t="s">
        <v>710</v>
      </c>
      <c r="U391" t="str">
        <f t="shared" si="18"/>
        <v>N km direction of city</v>
      </c>
      <c r="V391" t="str">
        <f t="shared" si="19"/>
        <v>mww</v>
      </c>
      <c r="X391">
        <f t="shared" si="20"/>
        <v>2014</v>
      </c>
    </row>
    <row r="392" spans="1:24">
      <c r="A392" t="s">
        <v>712</v>
      </c>
      <c r="B392">
        <v>6.9</v>
      </c>
      <c r="C392" s="1">
        <v>41730.997916666667</v>
      </c>
      <c r="D392">
        <v>0</v>
      </c>
      <c r="E392">
        <v>5</v>
      </c>
      <c r="F392" t="s">
        <v>15</v>
      </c>
      <c r="G392">
        <v>0</v>
      </c>
      <c r="H392">
        <v>732</v>
      </c>
      <c r="I392" t="s">
        <v>46</v>
      </c>
      <c r="J392">
        <v>0</v>
      </c>
      <c r="K392">
        <v>0.82799999999999996</v>
      </c>
      <c r="L392">
        <v>119</v>
      </c>
      <c r="M392" t="s">
        <v>14</v>
      </c>
      <c r="N392">
        <v>28.42</v>
      </c>
      <c r="O392">
        <v>-19.892700000000001</v>
      </c>
      <c r="P392">
        <v>-70.945499999999996</v>
      </c>
      <c r="Q392" t="s">
        <v>710</v>
      </c>
      <c r="U392" t="str">
        <f t="shared" si="18"/>
        <v>N km direction of city</v>
      </c>
      <c r="V392" t="str">
        <f t="shared" si="19"/>
        <v>mww</v>
      </c>
      <c r="X392">
        <f t="shared" si="20"/>
        <v>2014</v>
      </c>
    </row>
    <row r="393" spans="1:24">
      <c r="A393" t="s">
        <v>713</v>
      </c>
      <c r="B393">
        <v>8.1999999999999993</v>
      </c>
      <c r="C393" s="1">
        <v>41730.990277777782</v>
      </c>
      <c r="D393">
        <v>9</v>
      </c>
      <c r="E393">
        <v>8</v>
      </c>
      <c r="F393" t="s">
        <v>18</v>
      </c>
      <c r="G393">
        <v>1</v>
      </c>
      <c r="H393">
        <v>1332</v>
      </c>
      <c r="I393" t="s">
        <v>46</v>
      </c>
      <c r="J393">
        <v>0</v>
      </c>
      <c r="K393">
        <v>0.60899999999999999</v>
      </c>
      <c r="L393">
        <v>23</v>
      </c>
      <c r="M393" t="s">
        <v>14</v>
      </c>
      <c r="N393">
        <v>25</v>
      </c>
      <c r="O393">
        <v>-19.6097</v>
      </c>
      <c r="P393">
        <v>-70.769099999999995</v>
      </c>
      <c r="Q393" t="s">
        <v>710</v>
      </c>
      <c r="U393" t="str">
        <f t="shared" si="18"/>
        <v>N km direction of city</v>
      </c>
      <c r="V393" t="str">
        <f t="shared" si="19"/>
        <v>mww</v>
      </c>
      <c r="X393">
        <f t="shared" si="20"/>
        <v>2014</v>
      </c>
    </row>
    <row r="394" spans="1:24">
      <c r="A394" t="s">
        <v>714</v>
      </c>
      <c r="B394">
        <v>6.7</v>
      </c>
      <c r="C394" s="1">
        <v>41714.886111111111</v>
      </c>
      <c r="D394">
        <v>7</v>
      </c>
      <c r="E394">
        <v>7</v>
      </c>
      <c r="F394" t="s">
        <v>15</v>
      </c>
      <c r="G394">
        <v>1</v>
      </c>
      <c r="H394">
        <v>718</v>
      </c>
      <c r="I394" t="s">
        <v>46</v>
      </c>
      <c r="J394">
        <v>0</v>
      </c>
      <c r="K394">
        <v>1.008</v>
      </c>
      <c r="L394">
        <v>44</v>
      </c>
      <c r="M394" t="s">
        <v>14</v>
      </c>
      <c r="N394">
        <v>20</v>
      </c>
      <c r="O394">
        <v>-19.980699999999999</v>
      </c>
      <c r="P394">
        <v>-70.702200000000005</v>
      </c>
      <c r="Q394" t="s">
        <v>710</v>
      </c>
      <c r="U394" t="str">
        <f t="shared" si="18"/>
        <v>N km direction of city</v>
      </c>
      <c r="V394" t="str">
        <f t="shared" si="19"/>
        <v>mww</v>
      </c>
      <c r="X394">
        <f t="shared" si="20"/>
        <v>2014</v>
      </c>
    </row>
    <row r="395" spans="1:24">
      <c r="A395" t="s">
        <v>715</v>
      </c>
      <c r="B395">
        <v>6.8</v>
      </c>
      <c r="C395" s="1">
        <v>41708.220833333333</v>
      </c>
      <c r="D395">
        <v>5</v>
      </c>
      <c r="E395">
        <v>5</v>
      </c>
      <c r="F395" t="s">
        <v>15</v>
      </c>
      <c r="G395">
        <v>1</v>
      </c>
      <c r="H395">
        <v>1211</v>
      </c>
      <c r="I395" t="s">
        <v>716</v>
      </c>
      <c r="J395">
        <v>112</v>
      </c>
      <c r="K395">
        <v>0.65680000000000005</v>
      </c>
      <c r="L395">
        <v>229</v>
      </c>
      <c r="M395" t="s">
        <v>11</v>
      </c>
      <c r="N395">
        <v>16.440999999999999</v>
      </c>
      <c r="O395">
        <v>40.828699999999998</v>
      </c>
      <c r="P395">
        <v>-125.134</v>
      </c>
      <c r="Q395" t="s">
        <v>717</v>
      </c>
      <c r="U395" t="str">
        <f t="shared" si="18"/>
        <v>N km direction of city</v>
      </c>
      <c r="V395" t="str">
        <f t="shared" si="19"/>
        <v>mw</v>
      </c>
      <c r="X395">
        <f t="shared" si="20"/>
        <v>2014</v>
      </c>
    </row>
    <row r="396" spans="1:24">
      <c r="A396" t="s">
        <v>718</v>
      </c>
      <c r="B396">
        <v>6.5</v>
      </c>
      <c r="C396" s="1">
        <v>41700.84097222222</v>
      </c>
      <c r="D396">
        <v>4</v>
      </c>
      <c r="E396">
        <v>5</v>
      </c>
      <c r="F396" t="s">
        <v>15</v>
      </c>
      <c r="G396">
        <v>1</v>
      </c>
      <c r="H396">
        <v>668</v>
      </c>
      <c r="I396" t="s">
        <v>46</v>
      </c>
      <c r="J396">
        <v>0</v>
      </c>
      <c r="K396">
        <v>1.0009999999999999</v>
      </c>
      <c r="L396">
        <v>17</v>
      </c>
      <c r="M396" t="s">
        <v>14</v>
      </c>
      <c r="N396">
        <v>119</v>
      </c>
      <c r="O396">
        <v>27.4312</v>
      </c>
      <c r="P396">
        <v>127.367</v>
      </c>
      <c r="Q396" t="s">
        <v>719</v>
      </c>
      <c r="U396" t="str">
        <f t="shared" si="18"/>
        <v>N km direction of city</v>
      </c>
      <c r="V396" t="str">
        <f t="shared" si="19"/>
        <v>mww</v>
      </c>
      <c r="X396">
        <f t="shared" si="20"/>
        <v>2014</v>
      </c>
    </row>
    <row r="397" spans="1:24">
      <c r="A397" t="s">
        <v>720</v>
      </c>
      <c r="B397">
        <v>6.5</v>
      </c>
      <c r="C397" s="1">
        <v>41688.393750000003</v>
      </c>
      <c r="D397">
        <v>5</v>
      </c>
      <c r="E397">
        <v>4</v>
      </c>
      <c r="F397" t="s">
        <v>15</v>
      </c>
      <c r="G397">
        <v>1</v>
      </c>
      <c r="H397">
        <v>681</v>
      </c>
      <c r="I397" t="s">
        <v>46</v>
      </c>
      <c r="J397">
        <v>0</v>
      </c>
      <c r="K397">
        <v>1.635</v>
      </c>
      <c r="L397">
        <v>30</v>
      </c>
      <c r="M397" t="s">
        <v>14</v>
      </c>
      <c r="N397">
        <v>14.83</v>
      </c>
      <c r="O397">
        <v>14.668200000000001</v>
      </c>
      <c r="P397">
        <v>-58.927199999999999</v>
      </c>
      <c r="Q397" t="s">
        <v>721</v>
      </c>
      <c r="U397" t="str">
        <f t="shared" si="18"/>
        <v>N km direction of city</v>
      </c>
      <c r="V397" t="str">
        <f t="shared" si="19"/>
        <v>mww</v>
      </c>
      <c r="X397">
        <f t="shared" si="20"/>
        <v>2014</v>
      </c>
    </row>
    <row r="398" spans="1:24">
      <c r="A398" t="s">
        <v>722</v>
      </c>
      <c r="B398">
        <v>6.9</v>
      </c>
      <c r="C398" s="1">
        <v>41682.388194444437</v>
      </c>
      <c r="D398">
        <v>3</v>
      </c>
      <c r="E398">
        <v>8</v>
      </c>
      <c r="F398" t="s">
        <v>18</v>
      </c>
      <c r="G398">
        <v>0</v>
      </c>
      <c r="H398">
        <v>733</v>
      </c>
      <c r="I398" t="s">
        <v>46</v>
      </c>
      <c r="J398">
        <v>0</v>
      </c>
      <c r="K398">
        <v>7.4960000000000004</v>
      </c>
      <c r="L398">
        <v>18</v>
      </c>
      <c r="M398" t="s">
        <v>14</v>
      </c>
      <c r="N398">
        <v>10</v>
      </c>
      <c r="O398">
        <v>35.905299999999997</v>
      </c>
      <c r="P398">
        <v>82.586399999999998</v>
      </c>
      <c r="Q398" t="s">
        <v>723</v>
      </c>
      <c r="R398" t="s">
        <v>85</v>
      </c>
      <c r="S398" t="s">
        <v>153</v>
      </c>
      <c r="U398" t="str">
        <f t="shared" si="18"/>
        <v>N km direction of city</v>
      </c>
      <c r="V398" t="str">
        <f t="shared" si="19"/>
        <v>mww</v>
      </c>
      <c r="X398">
        <f t="shared" si="20"/>
        <v>2014</v>
      </c>
    </row>
    <row r="399" spans="1:24">
      <c r="A399" t="s">
        <v>724</v>
      </c>
      <c r="B399">
        <v>6.5</v>
      </c>
      <c r="C399" s="1">
        <v>41677.361111111109</v>
      </c>
      <c r="D399">
        <v>0</v>
      </c>
      <c r="E399">
        <v>5</v>
      </c>
      <c r="F399" t="s">
        <v>15</v>
      </c>
      <c r="G399">
        <v>1</v>
      </c>
      <c r="H399">
        <v>650</v>
      </c>
      <c r="I399" t="s">
        <v>46</v>
      </c>
      <c r="J399">
        <v>0</v>
      </c>
      <c r="K399">
        <v>0.40899999999999997</v>
      </c>
      <c r="L399">
        <v>20</v>
      </c>
      <c r="M399" t="s">
        <v>14</v>
      </c>
      <c r="N399">
        <v>122</v>
      </c>
      <c r="O399">
        <v>-15.069100000000001</v>
      </c>
      <c r="P399">
        <v>167.37200000000001</v>
      </c>
      <c r="Q399" t="s">
        <v>101</v>
      </c>
      <c r="S399" t="s">
        <v>48</v>
      </c>
      <c r="U399" t="str">
        <f t="shared" si="18"/>
        <v>N km direction of city</v>
      </c>
      <c r="V399" t="str">
        <f t="shared" si="19"/>
        <v>mww</v>
      </c>
      <c r="X399">
        <f t="shared" si="20"/>
        <v>2014</v>
      </c>
    </row>
    <row r="400" spans="1:24">
      <c r="A400" t="s">
        <v>725</v>
      </c>
      <c r="B400">
        <v>6.5</v>
      </c>
      <c r="C400" s="1">
        <v>41672.393055555563</v>
      </c>
      <c r="D400">
        <v>0</v>
      </c>
      <c r="E400">
        <v>3</v>
      </c>
      <c r="F400" t="s">
        <v>15</v>
      </c>
      <c r="G400">
        <v>1</v>
      </c>
      <c r="H400">
        <v>650</v>
      </c>
      <c r="I400" t="s">
        <v>46</v>
      </c>
      <c r="J400">
        <v>0</v>
      </c>
      <c r="K400">
        <v>3.6509999999999998</v>
      </c>
      <c r="L400">
        <v>22</v>
      </c>
      <c r="M400" t="s">
        <v>14</v>
      </c>
      <c r="N400">
        <v>44.26</v>
      </c>
      <c r="O400">
        <v>-32.907600000000002</v>
      </c>
      <c r="P400">
        <v>-177.881</v>
      </c>
      <c r="Q400" t="s">
        <v>155</v>
      </c>
      <c r="U400" t="str">
        <f t="shared" si="18"/>
        <v>Named-region</v>
      </c>
      <c r="V400" t="str">
        <f t="shared" si="19"/>
        <v>mww</v>
      </c>
      <c r="X400">
        <f t="shared" si="20"/>
        <v>2014</v>
      </c>
    </row>
    <row r="401" spans="1:24">
      <c r="A401" t="s">
        <v>726</v>
      </c>
      <c r="B401">
        <v>6.5</v>
      </c>
      <c r="C401" s="1">
        <v>41640.668749999997</v>
      </c>
      <c r="D401">
        <v>0</v>
      </c>
      <c r="E401">
        <v>4</v>
      </c>
      <c r="F401" t="s">
        <v>15</v>
      </c>
      <c r="G401">
        <v>1</v>
      </c>
      <c r="H401">
        <v>650</v>
      </c>
      <c r="I401" t="s">
        <v>46</v>
      </c>
      <c r="J401">
        <v>0</v>
      </c>
      <c r="K401">
        <v>3.9969999999999999</v>
      </c>
      <c r="L401">
        <v>14</v>
      </c>
      <c r="M401" t="s">
        <v>14</v>
      </c>
      <c r="N401">
        <v>187</v>
      </c>
      <c r="O401">
        <v>-13.863300000000001</v>
      </c>
      <c r="P401">
        <v>167.249</v>
      </c>
      <c r="Q401" t="s">
        <v>47</v>
      </c>
      <c r="S401" t="s">
        <v>48</v>
      </c>
      <c r="U401" t="str">
        <f t="shared" si="18"/>
        <v>N km direction of city</v>
      </c>
      <c r="V401" t="str">
        <f t="shared" si="19"/>
        <v>mww</v>
      </c>
      <c r="X401">
        <f t="shared" si="20"/>
        <v>2014</v>
      </c>
    </row>
    <row r="402" spans="1:24">
      <c r="A402" t="s">
        <v>727</v>
      </c>
      <c r="B402">
        <v>6.5</v>
      </c>
      <c r="C402" s="1">
        <v>41601.324999999997</v>
      </c>
      <c r="D402">
        <v>3</v>
      </c>
      <c r="E402">
        <v>4</v>
      </c>
      <c r="F402" t="s">
        <v>15</v>
      </c>
      <c r="G402">
        <v>0</v>
      </c>
      <c r="H402">
        <v>651</v>
      </c>
      <c r="I402" t="s">
        <v>46</v>
      </c>
      <c r="J402">
        <v>0</v>
      </c>
      <c r="K402">
        <v>5.194</v>
      </c>
      <c r="L402">
        <v>22</v>
      </c>
      <c r="M402" t="s">
        <v>14</v>
      </c>
      <c r="N402">
        <v>371</v>
      </c>
      <c r="O402">
        <v>-17.117100000000001</v>
      </c>
      <c r="P402">
        <v>-176.54499999999999</v>
      </c>
      <c r="Q402" t="s">
        <v>541</v>
      </c>
      <c r="U402" t="str">
        <f t="shared" si="18"/>
        <v>Named-region</v>
      </c>
      <c r="V402" t="str">
        <f t="shared" si="19"/>
        <v>mww</v>
      </c>
      <c r="X402">
        <f t="shared" si="20"/>
        <v>2013</v>
      </c>
    </row>
    <row r="403" spans="1:24">
      <c r="A403" t="s">
        <v>728</v>
      </c>
      <c r="B403">
        <v>7.7</v>
      </c>
      <c r="C403" s="1">
        <v>41595.37777777778</v>
      </c>
      <c r="D403">
        <v>1</v>
      </c>
      <c r="E403">
        <v>8</v>
      </c>
      <c r="F403" t="s">
        <v>15</v>
      </c>
      <c r="G403">
        <v>1</v>
      </c>
      <c r="H403">
        <v>912</v>
      </c>
      <c r="I403" t="s">
        <v>46</v>
      </c>
      <c r="J403">
        <v>0</v>
      </c>
      <c r="K403">
        <v>8.0500000000000007</v>
      </c>
      <c r="L403">
        <v>23</v>
      </c>
      <c r="M403" t="s">
        <v>14</v>
      </c>
      <c r="N403">
        <v>10</v>
      </c>
      <c r="O403">
        <v>-60.273800000000001</v>
      </c>
      <c r="P403">
        <v>-46.4011</v>
      </c>
      <c r="Q403" t="s">
        <v>729</v>
      </c>
      <c r="S403" t="s">
        <v>334</v>
      </c>
      <c r="U403" t="str">
        <f t="shared" si="18"/>
        <v>Named-region</v>
      </c>
      <c r="V403" t="str">
        <f t="shared" si="19"/>
        <v>mww</v>
      </c>
      <c r="X403">
        <f t="shared" si="20"/>
        <v>2013</v>
      </c>
    </row>
    <row r="404" spans="1:24">
      <c r="A404" t="s">
        <v>730</v>
      </c>
      <c r="B404">
        <v>6.9</v>
      </c>
      <c r="C404" s="1">
        <v>41594.148611111108</v>
      </c>
      <c r="D404">
        <v>0</v>
      </c>
      <c r="E404">
        <v>5</v>
      </c>
      <c r="F404" t="s">
        <v>15</v>
      </c>
      <c r="G404">
        <v>1</v>
      </c>
      <c r="H404">
        <v>732</v>
      </c>
      <c r="I404" t="s">
        <v>46</v>
      </c>
      <c r="J404">
        <v>0</v>
      </c>
      <c r="K404">
        <v>8.2840000000000007</v>
      </c>
      <c r="L404">
        <v>17</v>
      </c>
      <c r="M404" t="s">
        <v>14</v>
      </c>
      <c r="N404">
        <v>9.9700000000000006</v>
      </c>
      <c r="O404">
        <v>-60.262700000000002</v>
      </c>
      <c r="P404">
        <v>-47.062100000000001</v>
      </c>
      <c r="Q404" t="s">
        <v>729</v>
      </c>
      <c r="S404" t="s">
        <v>334</v>
      </c>
      <c r="U404" t="str">
        <f t="shared" si="18"/>
        <v>Named-region</v>
      </c>
      <c r="V404" t="str">
        <f t="shared" si="19"/>
        <v>mww</v>
      </c>
      <c r="X404">
        <f t="shared" si="20"/>
        <v>2013</v>
      </c>
    </row>
    <row r="405" spans="1:24">
      <c r="A405" t="s">
        <v>731</v>
      </c>
      <c r="B405">
        <v>6.6</v>
      </c>
      <c r="C405" s="1">
        <v>41578.960416666669</v>
      </c>
      <c r="D405">
        <v>6</v>
      </c>
      <c r="E405">
        <v>7</v>
      </c>
      <c r="F405" t="s">
        <v>15</v>
      </c>
      <c r="G405">
        <v>1</v>
      </c>
      <c r="H405">
        <v>723</v>
      </c>
      <c r="I405" t="s">
        <v>46</v>
      </c>
      <c r="J405">
        <v>0</v>
      </c>
      <c r="K405">
        <v>0.63600000000000001</v>
      </c>
      <c r="L405">
        <v>31</v>
      </c>
      <c r="M405" t="s">
        <v>14</v>
      </c>
      <c r="N405">
        <v>27</v>
      </c>
      <c r="O405">
        <v>-30.292100000000001</v>
      </c>
      <c r="P405">
        <v>-71.521500000000003</v>
      </c>
      <c r="Q405" t="s">
        <v>372</v>
      </c>
      <c r="R405" t="s">
        <v>53</v>
      </c>
      <c r="S405" t="s">
        <v>275</v>
      </c>
      <c r="U405" t="str">
        <f t="shared" si="18"/>
        <v>N km direction of city</v>
      </c>
      <c r="V405" t="str">
        <f t="shared" si="19"/>
        <v>mww</v>
      </c>
      <c r="X405">
        <f t="shared" si="20"/>
        <v>2013</v>
      </c>
    </row>
    <row r="406" spans="1:24">
      <c r="A406" t="s">
        <v>732</v>
      </c>
      <c r="B406">
        <v>7.1</v>
      </c>
      <c r="C406" s="1">
        <v>41572.715277777781</v>
      </c>
      <c r="D406">
        <v>6</v>
      </c>
      <c r="E406">
        <v>4</v>
      </c>
      <c r="F406" t="s">
        <v>15</v>
      </c>
      <c r="G406">
        <v>1</v>
      </c>
      <c r="H406">
        <v>872</v>
      </c>
      <c r="I406" t="s">
        <v>46</v>
      </c>
      <c r="J406">
        <v>0</v>
      </c>
      <c r="K406">
        <v>3.968</v>
      </c>
      <c r="L406">
        <v>10</v>
      </c>
      <c r="M406" t="s">
        <v>14</v>
      </c>
      <c r="N406">
        <v>35</v>
      </c>
      <c r="O406">
        <v>37.155700000000003</v>
      </c>
      <c r="P406">
        <v>144.661</v>
      </c>
      <c r="Q406" t="s">
        <v>733</v>
      </c>
      <c r="U406" t="str">
        <f t="shared" si="18"/>
        <v>Named-region</v>
      </c>
      <c r="V406" t="str">
        <f t="shared" si="19"/>
        <v>mww</v>
      </c>
      <c r="X406">
        <f t="shared" si="20"/>
        <v>2013</v>
      </c>
    </row>
    <row r="407" spans="1:24">
      <c r="A407" t="s">
        <v>734</v>
      </c>
      <c r="B407">
        <v>6.6</v>
      </c>
      <c r="C407" s="1">
        <v>41566.745833333327</v>
      </c>
      <c r="D407">
        <v>8</v>
      </c>
      <c r="E407">
        <v>5</v>
      </c>
      <c r="F407" t="s">
        <v>15</v>
      </c>
      <c r="G407">
        <v>1</v>
      </c>
      <c r="H407">
        <v>692</v>
      </c>
      <c r="I407" t="s">
        <v>46</v>
      </c>
      <c r="J407">
        <v>0</v>
      </c>
      <c r="K407">
        <v>1.98</v>
      </c>
      <c r="L407">
        <v>44</v>
      </c>
      <c r="M407" t="s">
        <v>14</v>
      </c>
      <c r="N407">
        <v>9.4499999999999993</v>
      </c>
      <c r="O407">
        <v>26.0913</v>
      </c>
      <c r="P407">
        <v>-110.321</v>
      </c>
      <c r="Q407" t="s">
        <v>735</v>
      </c>
      <c r="U407" t="str">
        <f t="shared" si="18"/>
        <v>N km direction of city</v>
      </c>
      <c r="V407" t="str">
        <f t="shared" si="19"/>
        <v>mww</v>
      </c>
      <c r="X407">
        <f t="shared" si="20"/>
        <v>2013</v>
      </c>
    </row>
    <row r="408" spans="1:24">
      <c r="A408" t="s">
        <v>736</v>
      </c>
      <c r="B408">
        <v>6.8</v>
      </c>
      <c r="C408" s="1">
        <v>41563.4375</v>
      </c>
      <c r="D408">
        <v>0</v>
      </c>
      <c r="E408">
        <v>6</v>
      </c>
      <c r="F408" t="s">
        <v>15</v>
      </c>
      <c r="G408">
        <v>1</v>
      </c>
      <c r="H408">
        <v>711</v>
      </c>
      <c r="I408" t="s">
        <v>46</v>
      </c>
      <c r="J408">
        <v>0</v>
      </c>
      <c r="K408">
        <v>5.79</v>
      </c>
      <c r="L408">
        <v>9</v>
      </c>
      <c r="M408" t="s">
        <v>14</v>
      </c>
      <c r="N408">
        <v>35</v>
      </c>
      <c r="O408">
        <v>-6.4455999999999998</v>
      </c>
      <c r="P408">
        <v>154.93100000000001</v>
      </c>
      <c r="Q408" t="s">
        <v>506</v>
      </c>
      <c r="S408" t="s">
        <v>89</v>
      </c>
      <c r="U408" t="str">
        <f t="shared" si="18"/>
        <v>N km direction of city</v>
      </c>
      <c r="V408" t="str">
        <f t="shared" si="19"/>
        <v>mww</v>
      </c>
      <c r="X408">
        <f t="shared" si="20"/>
        <v>2013</v>
      </c>
    </row>
    <row r="409" spans="1:24">
      <c r="A409" t="s">
        <v>737</v>
      </c>
      <c r="B409">
        <v>7.1</v>
      </c>
      <c r="C409" s="1">
        <v>41562.008333333331</v>
      </c>
      <c r="D409">
        <v>9</v>
      </c>
      <c r="E409">
        <v>8</v>
      </c>
      <c r="F409" t="s">
        <v>16</v>
      </c>
      <c r="G409">
        <v>1</v>
      </c>
      <c r="H409">
        <v>1092</v>
      </c>
      <c r="I409" t="s">
        <v>46</v>
      </c>
      <c r="J409">
        <v>0</v>
      </c>
      <c r="K409">
        <v>3.1440000000000001</v>
      </c>
      <c r="L409">
        <v>12</v>
      </c>
      <c r="M409" t="s">
        <v>14</v>
      </c>
      <c r="N409">
        <v>19.04</v>
      </c>
      <c r="O409">
        <v>9.8795999999999999</v>
      </c>
      <c r="P409">
        <v>124.117</v>
      </c>
      <c r="Q409" t="s">
        <v>738</v>
      </c>
      <c r="S409" t="s">
        <v>158</v>
      </c>
      <c r="U409" t="str">
        <f t="shared" si="18"/>
        <v>N km direction of city</v>
      </c>
      <c r="V409" t="str">
        <f t="shared" si="19"/>
        <v>mww</v>
      </c>
      <c r="X409">
        <f t="shared" si="20"/>
        <v>2013</v>
      </c>
    </row>
    <row r="410" spans="1:24">
      <c r="A410" t="s">
        <v>739</v>
      </c>
      <c r="B410">
        <v>6.6</v>
      </c>
      <c r="C410" s="1">
        <v>41559.549305555563</v>
      </c>
      <c r="D410">
        <v>5</v>
      </c>
      <c r="E410">
        <v>6</v>
      </c>
      <c r="F410" t="s">
        <v>18</v>
      </c>
      <c r="G410">
        <v>0</v>
      </c>
      <c r="H410">
        <v>691</v>
      </c>
      <c r="I410" t="s">
        <v>46</v>
      </c>
      <c r="J410">
        <v>0</v>
      </c>
      <c r="K410">
        <v>1.984</v>
      </c>
      <c r="L410">
        <v>40</v>
      </c>
      <c r="M410" t="s">
        <v>14</v>
      </c>
      <c r="N410">
        <v>40</v>
      </c>
      <c r="O410">
        <v>35.514200000000002</v>
      </c>
      <c r="P410">
        <v>23.252300000000002</v>
      </c>
      <c r="Q410" t="s">
        <v>740</v>
      </c>
      <c r="R410" t="s">
        <v>267</v>
      </c>
      <c r="U410" t="str">
        <f t="shared" si="18"/>
        <v>N km direction of city</v>
      </c>
      <c r="V410" t="str">
        <f t="shared" si="19"/>
        <v>mww</v>
      </c>
      <c r="X410">
        <f t="shared" si="20"/>
        <v>2013</v>
      </c>
    </row>
    <row r="411" spans="1:24">
      <c r="A411" t="s">
        <v>741</v>
      </c>
      <c r="B411">
        <v>6.7</v>
      </c>
      <c r="C411" s="1">
        <v>41548.151388888888</v>
      </c>
      <c r="D411">
        <v>0</v>
      </c>
      <c r="E411">
        <v>3</v>
      </c>
      <c r="F411" t="s">
        <v>15</v>
      </c>
      <c r="G411">
        <v>0</v>
      </c>
      <c r="H411">
        <v>691</v>
      </c>
      <c r="I411" t="s">
        <v>46</v>
      </c>
      <c r="J411">
        <v>0</v>
      </c>
      <c r="K411">
        <v>2.9580000000000002</v>
      </c>
      <c r="L411">
        <v>11</v>
      </c>
      <c r="M411" t="s">
        <v>14</v>
      </c>
      <c r="N411">
        <v>573</v>
      </c>
      <c r="O411">
        <v>53.1995</v>
      </c>
      <c r="P411">
        <v>152.786</v>
      </c>
      <c r="Q411" t="s">
        <v>742</v>
      </c>
      <c r="U411" t="str">
        <f t="shared" si="18"/>
        <v>Named-region</v>
      </c>
      <c r="V411" t="str">
        <f t="shared" si="19"/>
        <v>mww</v>
      </c>
      <c r="X411">
        <f t="shared" si="20"/>
        <v>2013</v>
      </c>
    </row>
    <row r="412" spans="1:24">
      <c r="A412" t="s">
        <v>234</v>
      </c>
      <c r="B412">
        <v>6.5</v>
      </c>
      <c r="C412" s="1">
        <v>41547.246527777781</v>
      </c>
      <c r="D412">
        <v>0</v>
      </c>
      <c r="E412">
        <v>4</v>
      </c>
      <c r="F412" t="s">
        <v>15</v>
      </c>
      <c r="G412">
        <v>1</v>
      </c>
      <c r="H412">
        <v>650</v>
      </c>
      <c r="I412" t="s">
        <v>46</v>
      </c>
      <c r="J412">
        <v>0</v>
      </c>
      <c r="K412">
        <v>1.7090000000000001</v>
      </c>
      <c r="L412">
        <v>21</v>
      </c>
      <c r="M412" t="s">
        <v>14</v>
      </c>
      <c r="N412">
        <v>41.54</v>
      </c>
      <c r="O412">
        <v>-30.9255</v>
      </c>
      <c r="P412">
        <v>-178.32300000000001</v>
      </c>
      <c r="Q412" t="s">
        <v>79</v>
      </c>
      <c r="U412" t="str">
        <f t="shared" si="18"/>
        <v>Named-region</v>
      </c>
      <c r="V412" t="str">
        <f t="shared" si="19"/>
        <v>mww</v>
      </c>
      <c r="X412">
        <f t="shared" si="20"/>
        <v>2013</v>
      </c>
    </row>
    <row r="413" spans="1:24">
      <c r="A413" t="s">
        <v>743</v>
      </c>
      <c r="B413">
        <v>6.8</v>
      </c>
      <c r="C413" s="1">
        <v>41545.31527777778</v>
      </c>
      <c r="D413">
        <v>7</v>
      </c>
      <c r="E413">
        <v>7</v>
      </c>
      <c r="F413" t="s">
        <v>16</v>
      </c>
      <c r="G413">
        <v>0</v>
      </c>
      <c r="H413">
        <v>1005</v>
      </c>
      <c r="I413" t="s">
        <v>46</v>
      </c>
      <c r="J413">
        <v>0</v>
      </c>
      <c r="K413">
        <v>7.359</v>
      </c>
      <c r="L413">
        <v>17</v>
      </c>
      <c r="M413" t="s">
        <v>14</v>
      </c>
      <c r="N413">
        <v>12</v>
      </c>
      <c r="O413">
        <v>27.182500000000001</v>
      </c>
      <c r="P413">
        <v>65.505200000000002</v>
      </c>
      <c r="Q413" t="s">
        <v>744</v>
      </c>
      <c r="R413" t="s">
        <v>85</v>
      </c>
      <c r="S413" t="s">
        <v>745</v>
      </c>
      <c r="U413" t="str">
        <f t="shared" si="18"/>
        <v>N km direction of city</v>
      </c>
      <c r="V413" t="str">
        <f t="shared" si="19"/>
        <v>mww</v>
      </c>
      <c r="X413">
        <f t="shared" si="20"/>
        <v>2013</v>
      </c>
    </row>
    <row r="414" spans="1:24">
      <c r="A414" t="s">
        <v>746</v>
      </c>
      <c r="B414">
        <v>7.1</v>
      </c>
      <c r="C414" s="1">
        <v>41542.695833333331</v>
      </c>
      <c r="D414">
        <v>8</v>
      </c>
      <c r="E414">
        <v>7</v>
      </c>
      <c r="F414" t="s">
        <v>15</v>
      </c>
      <c r="G414">
        <v>1</v>
      </c>
      <c r="H414">
        <v>843</v>
      </c>
      <c r="I414" t="s">
        <v>46</v>
      </c>
      <c r="J414">
        <v>0</v>
      </c>
      <c r="K414">
        <v>4.4459999999999997</v>
      </c>
      <c r="L414">
        <v>17</v>
      </c>
      <c r="M414" t="s">
        <v>14</v>
      </c>
      <c r="N414">
        <v>40</v>
      </c>
      <c r="O414">
        <v>-15.8385</v>
      </c>
      <c r="P414">
        <v>-74.511200000000002</v>
      </c>
      <c r="Q414" t="s">
        <v>443</v>
      </c>
      <c r="S414" t="s">
        <v>164</v>
      </c>
      <c r="U414" t="str">
        <f t="shared" si="18"/>
        <v>N km direction of city</v>
      </c>
      <c r="V414" t="str">
        <f t="shared" si="19"/>
        <v>mww</v>
      </c>
      <c r="X414">
        <f t="shared" si="20"/>
        <v>2013</v>
      </c>
    </row>
    <row r="415" spans="1:24">
      <c r="A415" t="s">
        <v>747</v>
      </c>
      <c r="B415">
        <v>7.7</v>
      </c>
      <c r="C415" s="1">
        <v>41541.478472222218</v>
      </c>
      <c r="D415">
        <v>5</v>
      </c>
      <c r="E415">
        <v>8</v>
      </c>
      <c r="F415" t="s">
        <v>17</v>
      </c>
      <c r="G415">
        <v>0</v>
      </c>
      <c r="H415">
        <v>2015</v>
      </c>
      <c r="I415" t="s">
        <v>46</v>
      </c>
      <c r="J415">
        <v>0</v>
      </c>
      <c r="K415">
        <v>7.2409999999999997</v>
      </c>
      <c r="L415">
        <v>17</v>
      </c>
      <c r="M415" t="s">
        <v>14</v>
      </c>
      <c r="N415">
        <v>15</v>
      </c>
      <c r="O415">
        <v>26.951000000000001</v>
      </c>
      <c r="P415">
        <v>65.500900000000001</v>
      </c>
      <c r="Q415" t="s">
        <v>748</v>
      </c>
      <c r="R415" t="s">
        <v>85</v>
      </c>
      <c r="S415" t="s">
        <v>745</v>
      </c>
      <c r="U415" t="str">
        <f t="shared" si="18"/>
        <v>N km direction of city</v>
      </c>
      <c r="V415" t="str">
        <f t="shared" si="19"/>
        <v>mww</v>
      </c>
      <c r="X415">
        <f t="shared" si="20"/>
        <v>2013</v>
      </c>
    </row>
    <row r="416" spans="1:24">
      <c r="A416" t="s">
        <v>749</v>
      </c>
      <c r="B416">
        <v>6.5</v>
      </c>
      <c r="C416" s="1">
        <v>41521.105555555558</v>
      </c>
      <c r="D416">
        <v>0</v>
      </c>
      <c r="E416">
        <v>6</v>
      </c>
      <c r="F416" t="s">
        <v>15</v>
      </c>
      <c r="G416">
        <v>1</v>
      </c>
      <c r="H416">
        <v>650</v>
      </c>
      <c r="I416" t="s">
        <v>46</v>
      </c>
      <c r="J416">
        <v>0</v>
      </c>
      <c r="K416">
        <v>0.73499999999999999</v>
      </c>
      <c r="L416">
        <v>24</v>
      </c>
      <c r="M416" t="s">
        <v>14</v>
      </c>
      <c r="N416">
        <v>20</v>
      </c>
      <c r="O416">
        <v>51.557299999999998</v>
      </c>
      <c r="P416">
        <v>-174.767</v>
      </c>
      <c r="Q416" t="s">
        <v>750</v>
      </c>
      <c r="U416" t="str">
        <f t="shared" si="18"/>
        <v>N km direction of city</v>
      </c>
      <c r="V416" t="str">
        <f t="shared" si="19"/>
        <v>mww</v>
      </c>
      <c r="X416">
        <f t="shared" si="20"/>
        <v>2013</v>
      </c>
    </row>
    <row r="417" spans="1:24">
      <c r="A417" t="s">
        <v>751</v>
      </c>
      <c r="B417">
        <v>6.5</v>
      </c>
      <c r="C417" s="1">
        <v>41521.012499999997</v>
      </c>
      <c r="D417">
        <v>5</v>
      </c>
      <c r="E417">
        <v>3</v>
      </c>
      <c r="F417" t="s">
        <v>15</v>
      </c>
      <c r="G417">
        <v>0</v>
      </c>
      <c r="H417">
        <v>739</v>
      </c>
      <c r="I417" t="s">
        <v>46</v>
      </c>
      <c r="J417">
        <v>0</v>
      </c>
      <c r="K417">
        <v>3.2759999999999998</v>
      </c>
      <c r="L417">
        <v>26</v>
      </c>
      <c r="M417" t="s">
        <v>14</v>
      </c>
      <c r="N417">
        <v>402</v>
      </c>
      <c r="O417">
        <v>29.9377</v>
      </c>
      <c r="P417">
        <v>138.833</v>
      </c>
      <c r="Q417" t="s">
        <v>752</v>
      </c>
      <c r="U417" t="str">
        <f t="shared" si="18"/>
        <v>Named-region</v>
      </c>
      <c r="V417" t="str">
        <f t="shared" si="19"/>
        <v>mww</v>
      </c>
      <c r="X417">
        <f t="shared" si="20"/>
        <v>2013</v>
      </c>
    </row>
    <row r="418" spans="1:24">
      <c r="A418" t="s">
        <v>753</v>
      </c>
      <c r="B418">
        <v>6.5</v>
      </c>
      <c r="C418" s="1">
        <v>41518.494444444441</v>
      </c>
      <c r="D418">
        <v>4</v>
      </c>
      <c r="E418">
        <v>5</v>
      </c>
      <c r="F418" t="s">
        <v>15</v>
      </c>
      <c r="G418">
        <v>0</v>
      </c>
      <c r="H418">
        <v>668</v>
      </c>
      <c r="I418" t="s">
        <v>46</v>
      </c>
      <c r="J418">
        <v>0</v>
      </c>
      <c r="K418">
        <v>3.097</v>
      </c>
      <c r="L418">
        <v>11</v>
      </c>
      <c r="M418" t="s">
        <v>14</v>
      </c>
      <c r="N418">
        <v>112</v>
      </c>
      <c r="O418">
        <v>-7.44</v>
      </c>
      <c r="P418">
        <v>128.221</v>
      </c>
      <c r="Q418" t="s">
        <v>195</v>
      </c>
      <c r="S418" t="s">
        <v>77</v>
      </c>
      <c r="U418" t="str">
        <f t="shared" si="18"/>
        <v>N km direction of city</v>
      </c>
      <c r="V418" t="str">
        <f t="shared" si="19"/>
        <v>mww</v>
      </c>
      <c r="X418">
        <f t="shared" si="20"/>
        <v>2013</v>
      </c>
    </row>
    <row r="419" spans="1:24">
      <c r="A419" t="s">
        <v>754</v>
      </c>
      <c r="B419">
        <v>7</v>
      </c>
      <c r="C419" s="1">
        <v>41516.684027777781</v>
      </c>
      <c r="D419">
        <v>5</v>
      </c>
      <c r="E419">
        <v>6</v>
      </c>
      <c r="F419" t="s">
        <v>15</v>
      </c>
      <c r="G419">
        <v>0</v>
      </c>
      <c r="H419">
        <v>758</v>
      </c>
      <c r="I419" t="s">
        <v>46</v>
      </c>
      <c r="J419">
        <v>0</v>
      </c>
      <c r="K419">
        <v>0.624</v>
      </c>
      <c r="L419">
        <v>53</v>
      </c>
      <c r="M419" t="s">
        <v>14</v>
      </c>
      <c r="N419">
        <v>29</v>
      </c>
      <c r="O419">
        <v>51.536999999999999</v>
      </c>
      <c r="P419">
        <v>-175.23</v>
      </c>
      <c r="Q419" t="s">
        <v>750</v>
      </c>
      <c r="U419" t="str">
        <f t="shared" si="18"/>
        <v>N km direction of city</v>
      </c>
      <c r="V419" t="str">
        <f t="shared" si="19"/>
        <v>mww</v>
      </c>
      <c r="X419">
        <f t="shared" si="20"/>
        <v>2013</v>
      </c>
    </row>
    <row r="420" spans="1:24">
      <c r="A420" t="s">
        <v>755</v>
      </c>
      <c r="B420">
        <v>6.5</v>
      </c>
      <c r="C420" s="1">
        <v>41502.104861111111</v>
      </c>
      <c r="D420">
        <v>9</v>
      </c>
      <c r="E420">
        <v>7</v>
      </c>
      <c r="F420" t="s">
        <v>18</v>
      </c>
      <c r="G420">
        <v>1</v>
      </c>
      <c r="H420">
        <v>690</v>
      </c>
      <c r="I420" t="s">
        <v>46</v>
      </c>
      <c r="J420">
        <v>0</v>
      </c>
      <c r="K420">
        <v>0</v>
      </c>
      <c r="L420">
        <v>0</v>
      </c>
      <c r="M420" t="s">
        <v>14</v>
      </c>
      <c r="N420">
        <v>8.1999999999999993</v>
      </c>
      <c r="O420">
        <v>-41.734000000000002</v>
      </c>
      <c r="P420">
        <v>174.15199999999999</v>
      </c>
      <c r="Q420" t="s">
        <v>531</v>
      </c>
      <c r="S420" t="s">
        <v>529</v>
      </c>
      <c r="U420" t="str">
        <f t="shared" si="18"/>
        <v>N km direction of city</v>
      </c>
      <c r="V420" t="str">
        <f t="shared" si="19"/>
        <v>mww</v>
      </c>
      <c r="X420">
        <f t="shared" si="20"/>
        <v>2013</v>
      </c>
    </row>
    <row r="421" spans="1:24">
      <c r="A421" t="s">
        <v>756</v>
      </c>
      <c r="B421">
        <v>6.7</v>
      </c>
      <c r="C421" s="1">
        <v>41499.654861111107</v>
      </c>
      <c r="D421">
        <v>4</v>
      </c>
      <c r="E421">
        <v>5</v>
      </c>
      <c r="F421" t="s">
        <v>15</v>
      </c>
      <c r="G421">
        <v>1</v>
      </c>
      <c r="H421">
        <v>715</v>
      </c>
      <c r="I421" t="s">
        <v>46</v>
      </c>
      <c r="J421">
        <v>0</v>
      </c>
      <c r="K421">
        <v>3.7410000000000001</v>
      </c>
      <c r="L421">
        <v>22</v>
      </c>
      <c r="M421" t="s">
        <v>14</v>
      </c>
      <c r="N421">
        <v>12</v>
      </c>
      <c r="O421">
        <v>5.7732000000000001</v>
      </c>
      <c r="P421">
        <v>-78.1999</v>
      </c>
      <c r="Q421" t="s">
        <v>757</v>
      </c>
      <c r="U421" t="str">
        <f t="shared" si="18"/>
        <v>N km direction of city</v>
      </c>
      <c r="V421" t="str">
        <f t="shared" si="19"/>
        <v>mww</v>
      </c>
      <c r="X421">
        <f t="shared" si="20"/>
        <v>2013</v>
      </c>
    </row>
    <row r="422" spans="1:24">
      <c r="A422" t="s">
        <v>758</v>
      </c>
      <c r="B422">
        <v>6.5</v>
      </c>
      <c r="C422" s="1">
        <v>41476.214583333327</v>
      </c>
      <c r="D422">
        <v>6</v>
      </c>
      <c r="E422">
        <v>7</v>
      </c>
      <c r="F422" t="s">
        <v>18</v>
      </c>
      <c r="G422">
        <v>1</v>
      </c>
      <c r="H422">
        <v>693</v>
      </c>
      <c r="I422" t="s">
        <v>46</v>
      </c>
      <c r="J422">
        <v>229</v>
      </c>
      <c r="K422">
        <v>0</v>
      </c>
      <c r="L422">
        <v>20</v>
      </c>
      <c r="M422" t="s">
        <v>14</v>
      </c>
      <c r="N422">
        <v>17</v>
      </c>
      <c r="O422">
        <v>-41.704000000000001</v>
      </c>
      <c r="P422">
        <v>174.33699999999999</v>
      </c>
      <c r="Q422" t="s">
        <v>531</v>
      </c>
      <c r="S422" t="s">
        <v>529</v>
      </c>
      <c r="U422" t="str">
        <f t="shared" si="18"/>
        <v>N km direction of city</v>
      </c>
      <c r="V422" t="str">
        <f t="shared" si="19"/>
        <v>mww</v>
      </c>
      <c r="X422">
        <f t="shared" si="20"/>
        <v>2013</v>
      </c>
    </row>
    <row r="423" spans="1:24">
      <c r="A423" t="s">
        <v>759</v>
      </c>
      <c r="B423">
        <v>7.3</v>
      </c>
      <c r="C423" s="1">
        <v>41470.585416666669</v>
      </c>
      <c r="D423">
        <v>0</v>
      </c>
      <c r="E423">
        <v>6</v>
      </c>
      <c r="F423" t="s">
        <v>15</v>
      </c>
      <c r="G423">
        <v>1</v>
      </c>
      <c r="H423">
        <v>820</v>
      </c>
      <c r="I423" t="s">
        <v>46</v>
      </c>
      <c r="J423">
        <v>398</v>
      </c>
      <c r="K423">
        <v>0</v>
      </c>
      <c r="L423">
        <v>43</v>
      </c>
      <c r="M423" t="s">
        <v>14</v>
      </c>
      <c r="N423">
        <v>11</v>
      </c>
      <c r="O423">
        <v>-60.856999999999999</v>
      </c>
      <c r="P423">
        <v>-25.07</v>
      </c>
      <c r="Q423" t="s">
        <v>213</v>
      </c>
      <c r="S423" t="s">
        <v>334</v>
      </c>
      <c r="U423" t="str">
        <f t="shared" si="18"/>
        <v>Named-region</v>
      </c>
      <c r="V423" t="str">
        <f t="shared" si="19"/>
        <v>mww</v>
      </c>
      <c r="X423">
        <f t="shared" si="20"/>
        <v>2013</v>
      </c>
    </row>
    <row r="424" spans="1:24">
      <c r="A424" t="s">
        <v>760</v>
      </c>
      <c r="B424">
        <v>6.6</v>
      </c>
      <c r="C424" s="1">
        <v>41462.854166666657</v>
      </c>
      <c r="D424">
        <v>4</v>
      </c>
      <c r="E424">
        <v>6</v>
      </c>
      <c r="F424" t="s">
        <v>15</v>
      </c>
      <c r="G424">
        <v>0</v>
      </c>
      <c r="H424">
        <v>674</v>
      </c>
      <c r="I424" t="s">
        <v>46</v>
      </c>
      <c r="J424">
        <v>139</v>
      </c>
      <c r="K424">
        <v>0</v>
      </c>
      <c r="L424">
        <v>14</v>
      </c>
      <c r="M424" t="s">
        <v>14</v>
      </c>
      <c r="N424">
        <v>56</v>
      </c>
      <c r="O424">
        <v>-6.0289999999999999</v>
      </c>
      <c r="P424">
        <v>149.70599999999999</v>
      </c>
      <c r="Q424" t="s">
        <v>539</v>
      </c>
      <c r="S424" t="s">
        <v>89</v>
      </c>
      <c r="U424" t="str">
        <f t="shared" si="18"/>
        <v>N km direction of city</v>
      </c>
      <c r="V424" t="str">
        <f t="shared" si="19"/>
        <v>mww</v>
      </c>
      <c r="X424">
        <f t="shared" si="20"/>
        <v>2013</v>
      </c>
    </row>
    <row r="425" spans="1:24">
      <c r="A425" t="s">
        <v>761</v>
      </c>
      <c r="B425">
        <v>7.3</v>
      </c>
      <c r="C425" s="1">
        <v>41462.774305555547</v>
      </c>
      <c r="D425">
        <v>0</v>
      </c>
      <c r="E425">
        <v>4</v>
      </c>
      <c r="F425" t="s">
        <v>15</v>
      </c>
      <c r="G425">
        <v>1</v>
      </c>
      <c r="H425">
        <v>820</v>
      </c>
      <c r="I425" t="s">
        <v>46</v>
      </c>
      <c r="J425">
        <v>117</v>
      </c>
      <c r="K425">
        <v>0</v>
      </c>
      <c r="L425">
        <v>24</v>
      </c>
      <c r="M425" t="s">
        <v>14</v>
      </c>
      <c r="N425">
        <v>385.5</v>
      </c>
      <c r="O425">
        <v>-3.9169999999999998</v>
      </c>
      <c r="P425">
        <v>153.92699999999999</v>
      </c>
      <c r="Q425" t="s">
        <v>434</v>
      </c>
      <c r="S425" t="s">
        <v>89</v>
      </c>
      <c r="U425" t="str">
        <f t="shared" si="18"/>
        <v>N km direction of city</v>
      </c>
      <c r="V425" t="str">
        <f t="shared" si="19"/>
        <v>mww</v>
      </c>
      <c r="X425">
        <f t="shared" si="20"/>
        <v>2013</v>
      </c>
    </row>
    <row r="426" spans="1:24">
      <c r="A426" t="s">
        <v>762</v>
      </c>
      <c r="B426">
        <v>6.6</v>
      </c>
      <c r="C426" s="1">
        <v>41449.919444444437</v>
      </c>
      <c r="D426">
        <v>0</v>
      </c>
      <c r="E426">
        <v>7</v>
      </c>
      <c r="F426" t="s">
        <v>15</v>
      </c>
      <c r="G426">
        <v>1</v>
      </c>
      <c r="H426">
        <v>670</v>
      </c>
      <c r="I426" t="s">
        <v>46</v>
      </c>
      <c r="J426">
        <v>111</v>
      </c>
      <c r="K426">
        <v>0</v>
      </c>
      <c r="L426">
        <v>16</v>
      </c>
      <c r="M426" t="s">
        <v>14</v>
      </c>
      <c r="N426">
        <v>10</v>
      </c>
      <c r="O426">
        <v>10.701000000000001</v>
      </c>
      <c r="P426">
        <v>-42.594000000000001</v>
      </c>
      <c r="Q426" t="s">
        <v>763</v>
      </c>
      <c r="U426" t="str">
        <f t="shared" si="18"/>
        <v>Named-region</v>
      </c>
      <c r="V426" t="str">
        <f t="shared" si="19"/>
        <v>mww</v>
      </c>
      <c r="X426">
        <f t="shared" si="20"/>
        <v>2013</v>
      </c>
    </row>
    <row r="427" spans="1:24">
      <c r="A427" t="s">
        <v>764</v>
      </c>
      <c r="B427">
        <v>6.5</v>
      </c>
      <c r="C427" s="1">
        <v>41440.731944444437</v>
      </c>
      <c r="D427">
        <v>5</v>
      </c>
      <c r="E427">
        <v>6</v>
      </c>
      <c r="F427" t="s">
        <v>15</v>
      </c>
      <c r="G427">
        <v>1</v>
      </c>
      <c r="H427">
        <v>679</v>
      </c>
      <c r="I427" t="s">
        <v>46</v>
      </c>
      <c r="J427">
        <v>698</v>
      </c>
      <c r="K427">
        <v>0</v>
      </c>
      <c r="L427">
        <v>27</v>
      </c>
      <c r="M427" t="s">
        <v>14</v>
      </c>
      <c r="N427">
        <v>30</v>
      </c>
      <c r="O427">
        <v>11.763</v>
      </c>
      <c r="P427">
        <v>-86.926000000000002</v>
      </c>
      <c r="Q427" t="s">
        <v>168</v>
      </c>
      <c r="U427" t="str">
        <f t="shared" si="18"/>
        <v>N km direction of city</v>
      </c>
      <c r="V427" t="str">
        <f t="shared" si="19"/>
        <v>mww</v>
      </c>
      <c r="X427">
        <f t="shared" si="20"/>
        <v>2013</v>
      </c>
    </row>
    <row r="428" spans="1:24">
      <c r="A428" t="s">
        <v>765</v>
      </c>
      <c r="B428">
        <v>6.7</v>
      </c>
      <c r="C428" s="1">
        <v>41438.699305555558</v>
      </c>
      <c r="D428">
        <v>5</v>
      </c>
      <c r="E428">
        <v>4</v>
      </c>
      <c r="F428" t="s">
        <v>15</v>
      </c>
      <c r="G428">
        <v>0</v>
      </c>
      <c r="H428">
        <v>710</v>
      </c>
      <c r="I428" t="s">
        <v>46</v>
      </c>
      <c r="J428">
        <v>515</v>
      </c>
      <c r="K428">
        <v>0</v>
      </c>
      <c r="L428">
        <v>24</v>
      </c>
      <c r="M428" t="s">
        <v>14</v>
      </c>
      <c r="N428">
        <v>9</v>
      </c>
      <c r="O428">
        <v>-10.004</v>
      </c>
      <c r="P428">
        <v>107.236</v>
      </c>
      <c r="Q428" t="s">
        <v>766</v>
      </c>
      <c r="U428" t="str">
        <f t="shared" si="18"/>
        <v>Named-region</v>
      </c>
      <c r="V428" t="str">
        <f t="shared" si="19"/>
        <v>mww</v>
      </c>
      <c r="X428">
        <f t="shared" si="20"/>
        <v>2013</v>
      </c>
    </row>
    <row r="429" spans="1:24">
      <c r="A429" t="s">
        <v>741</v>
      </c>
      <c r="B429">
        <v>6.7</v>
      </c>
      <c r="C429" s="1">
        <v>41418.62222222222</v>
      </c>
      <c r="D429">
        <v>0</v>
      </c>
      <c r="E429">
        <v>3</v>
      </c>
      <c r="F429" t="s">
        <v>15</v>
      </c>
      <c r="G429">
        <v>1</v>
      </c>
      <c r="H429">
        <v>691</v>
      </c>
      <c r="I429" t="s">
        <v>46</v>
      </c>
      <c r="J429">
        <v>217</v>
      </c>
      <c r="K429">
        <v>0</v>
      </c>
      <c r="L429">
        <v>25.2</v>
      </c>
      <c r="M429" t="s">
        <v>12</v>
      </c>
      <c r="N429">
        <v>624</v>
      </c>
      <c r="O429">
        <v>52.234999999999999</v>
      </c>
      <c r="P429">
        <v>151.44399999999999</v>
      </c>
      <c r="Q429" t="s">
        <v>742</v>
      </c>
      <c r="U429" t="str">
        <f t="shared" si="18"/>
        <v>Named-region</v>
      </c>
      <c r="V429" t="str">
        <f t="shared" si="19"/>
        <v>mwb</v>
      </c>
      <c r="X429">
        <f t="shared" si="20"/>
        <v>2013</v>
      </c>
    </row>
    <row r="430" spans="1:24">
      <c r="A430" t="s">
        <v>767</v>
      </c>
      <c r="B430">
        <v>8.3000000000000007</v>
      </c>
      <c r="C430" s="1">
        <v>41418.238888888889</v>
      </c>
      <c r="D430">
        <v>5</v>
      </c>
      <c r="E430">
        <v>5</v>
      </c>
      <c r="F430" t="s">
        <v>15</v>
      </c>
      <c r="G430">
        <v>1</v>
      </c>
      <c r="H430">
        <v>1115</v>
      </c>
      <c r="I430" t="s">
        <v>46</v>
      </c>
      <c r="J430">
        <v>385</v>
      </c>
      <c r="K430">
        <v>0</v>
      </c>
      <c r="L430">
        <v>10</v>
      </c>
      <c r="M430" t="s">
        <v>14</v>
      </c>
      <c r="N430">
        <v>598.1</v>
      </c>
      <c r="O430">
        <v>54.892000000000003</v>
      </c>
      <c r="P430">
        <v>153.221</v>
      </c>
      <c r="Q430" t="s">
        <v>742</v>
      </c>
      <c r="U430" t="str">
        <f t="shared" si="18"/>
        <v>Named-region</v>
      </c>
      <c r="V430" t="str">
        <f t="shared" si="19"/>
        <v>mww</v>
      </c>
      <c r="X430">
        <f t="shared" si="20"/>
        <v>2013</v>
      </c>
    </row>
    <row r="431" spans="1:24">
      <c r="A431" t="s">
        <v>768</v>
      </c>
      <c r="B431">
        <v>7.4</v>
      </c>
      <c r="C431" s="1">
        <v>41417.72152777778</v>
      </c>
      <c r="D431">
        <v>0</v>
      </c>
      <c r="E431">
        <v>6</v>
      </c>
      <c r="F431" t="s">
        <v>15</v>
      </c>
      <c r="G431">
        <v>1</v>
      </c>
      <c r="H431">
        <v>842</v>
      </c>
      <c r="I431" t="s">
        <v>46</v>
      </c>
      <c r="J431">
        <v>626</v>
      </c>
      <c r="K431">
        <v>0</v>
      </c>
      <c r="L431">
        <v>16</v>
      </c>
      <c r="M431" t="s">
        <v>14</v>
      </c>
      <c r="N431">
        <v>173.7</v>
      </c>
      <c r="O431">
        <v>-23.009</v>
      </c>
      <c r="P431">
        <v>-177.232</v>
      </c>
      <c r="Q431" t="s">
        <v>769</v>
      </c>
      <c r="U431" t="str">
        <f t="shared" si="18"/>
        <v>N km direction of city</v>
      </c>
      <c r="V431" t="str">
        <f t="shared" si="19"/>
        <v>mww</v>
      </c>
      <c r="X431">
        <f t="shared" si="20"/>
        <v>2013</v>
      </c>
    </row>
    <row r="432" spans="1:24">
      <c r="A432" t="s">
        <v>770</v>
      </c>
      <c r="B432">
        <v>6.8</v>
      </c>
      <c r="C432" s="1">
        <v>41408.022222222222</v>
      </c>
      <c r="D432">
        <v>0</v>
      </c>
      <c r="E432">
        <v>3</v>
      </c>
      <c r="F432" t="s">
        <v>15</v>
      </c>
      <c r="G432">
        <v>0</v>
      </c>
      <c r="H432">
        <v>711</v>
      </c>
      <c r="I432" t="s">
        <v>46</v>
      </c>
      <c r="J432">
        <v>131</v>
      </c>
      <c r="K432">
        <v>0</v>
      </c>
      <c r="L432">
        <v>18</v>
      </c>
      <c r="M432" t="s">
        <v>14</v>
      </c>
      <c r="N432">
        <v>602.20000000000005</v>
      </c>
      <c r="O432">
        <v>18.728000000000002</v>
      </c>
      <c r="P432">
        <v>145.28800000000001</v>
      </c>
      <c r="Q432" t="s">
        <v>550</v>
      </c>
      <c r="U432" t="str">
        <f t="shared" si="18"/>
        <v>Named-region</v>
      </c>
      <c r="V432" t="str">
        <f t="shared" si="19"/>
        <v>mww</v>
      </c>
      <c r="X432">
        <f t="shared" si="20"/>
        <v>2013</v>
      </c>
    </row>
    <row r="433" spans="1:24">
      <c r="A433" t="s">
        <v>771</v>
      </c>
      <c r="B433">
        <v>6.5</v>
      </c>
      <c r="C433" s="1">
        <v>41387.968055555553</v>
      </c>
      <c r="D433">
        <v>0</v>
      </c>
      <c r="E433">
        <v>6</v>
      </c>
      <c r="F433" t="s">
        <v>15</v>
      </c>
      <c r="G433">
        <v>1</v>
      </c>
      <c r="H433">
        <v>650</v>
      </c>
      <c r="I433" t="s">
        <v>46</v>
      </c>
      <c r="J433">
        <v>264</v>
      </c>
      <c r="K433">
        <v>0</v>
      </c>
      <c r="L433">
        <v>16.600000000000001</v>
      </c>
      <c r="M433" t="s">
        <v>14</v>
      </c>
      <c r="N433">
        <v>10</v>
      </c>
      <c r="O433">
        <v>-3.8980000000000001</v>
      </c>
      <c r="P433">
        <v>152.12700000000001</v>
      </c>
      <c r="Q433" t="s">
        <v>544</v>
      </c>
      <c r="S433" t="s">
        <v>89</v>
      </c>
      <c r="U433" t="str">
        <f t="shared" si="18"/>
        <v>N km direction of city</v>
      </c>
      <c r="V433" t="str">
        <f t="shared" si="19"/>
        <v>mww</v>
      </c>
      <c r="X433">
        <f t="shared" si="20"/>
        <v>2013</v>
      </c>
    </row>
    <row r="434" spans="1:24">
      <c r="A434" t="s">
        <v>772</v>
      </c>
      <c r="B434">
        <v>6.6</v>
      </c>
      <c r="C434" s="1">
        <v>41384.001388888893</v>
      </c>
      <c r="D434">
        <v>8</v>
      </c>
      <c r="E434">
        <v>8</v>
      </c>
      <c r="F434" t="s">
        <v>17</v>
      </c>
      <c r="G434">
        <v>0</v>
      </c>
      <c r="H434">
        <v>2083</v>
      </c>
      <c r="I434" t="s">
        <v>46</v>
      </c>
      <c r="J434">
        <v>548</v>
      </c>
      <c r="K434">
        <v>0</v>
      </c>
      <c r="L434">
        <v>12.6</v>
      </c>
      <c r="M434" t="s">
        <v>14</v>
      </c>
      <c r="N434">
        <v>14</v>
      </c>
      <c r="O434">
        <v>30.308</v>
      </c>
      <c r="P434">
        <v>102.88800000000001</v>
      </c>
      <c r="Q434" t="s">
        <v>773</v>
      </c>
      <c r="R434" t="s">
        <v>85</v>
      </c>
      <c r="S434" t="s">
        <v>153</v>
      </c>
      <c r="U434" t="str">
        <f t="shared" si="18"/>
        <v>N km direction of city</v>
      </c>
      <c r="V434" t="str">
        <f t="shared" si="19"/>
        <v>mww</v>
      </c>
      <c r="X434">
        <f t="shared" si="20"/>
        <v>2013</v>
      </c>
    </row>
    <row r="435" spans="1:24">
      <c r="A435" t="s">
        <v>774</v>
      </c>
      <c r="B435">
        <v>7.2</v>
      </c>
      <c r="C435" s="1">
        <v>41383.128472222219</v>
      </c>
      <c r="D435">
        <v>5</v>
      </c>
      <c r="E435">
        <v>7</v>
      </c>
      <c r="F435" t="s">
        <v>15</v>
      </c>
      <c r="G435">
        <v>1</v>
      </c>
      <c r="H435">
        <v>804</v>
      </c>
      <c r="I435" t="s">
        <v>46</v>
      </c>
      <c r="J435">
        <v>770</v>
      </c>
      <c r="K435">
        <v>0</v>
      </c>
      <c r="L435">
        <v>10.1</v>
      </c>
      <c r="M435" t="s">
        <v>14</v>
      </c>
      <c r="N435">
        <v>110</v>
      </c>
      <c r="O435">
        <v>46.220999999999997</v>
      </c>
      <c r="P435">
        <v>150.78800000000001</v>
      </c>
      <c r="Q435" t="s">
        <v>309</v>
      </c>
      <c r="R435" t="s">
        <v>85</v>
      </c>
      <c r="S435" t="s">
        <v>310</v>
      </c>
      <c r="U435" t="str">
        <f t="shared" si="18"/>
        <v>N km direction of city</v>
      </c>
      <c r="V435" t="str">
        <f t="shared" si="19"/>
        <v>mww</v>
      </c>
      <c r="X435">
        <f t="shared" si="20"/>
        <v>2013</v>
      </c>
    </row>
    <row r="436" spans="1:24">
      <c r="A436" t="s">
        <v>775</v>
      </c>
      <c r="B436">
        <v>6.6</v>
      </c>
      <c r="C436" s="1">
        <v>41380.954861111109</v>
      </c>
      <c r="D436">
        <v>7</v>
      </c>
      <c r="E436">
        <v>7</v>
      </c>
      <c r="F436" t="s">
        <v>15</v>
      </c>
      <c r="G436">
        <v>1</v>
      </c>
      <c r="H436">
        <v>672</v>
      </c>
      <c r="I436" t="s">
        <v>46</v>
      </c>
      <c r="J436">
        <v>445</v>
      </c>
      <c r="K436">
        <v>0</v>
      </c>
      <c r="L436">
        <v>11</v>
      </c>
      <c r="M436" t="s">
        <v>14</v>
      </c>
      <c r="N436">
        <v>13</v>
      </c>
      <c r="O436">
        <v>-3.214</v>
      </c>
      <c r="P436">
        <v>142.542</v>
      </c>
      <c r="Q436" t="s">
        <v>776</v>
      </c>
      <c r="S436" t="s">
        <v>89</v>
      </c>
      <c r="U436" t="str">
        <f t="shared" si="18"/>
        <v>N km direction of city</v>
      </c>
      <c r="V436" t="str">
        <f t="shared" si="19"/>
        <v>mww</v>
      </c>
      <c r="X436">
        <f t="shared" si="20"/>
        <v>2013</v>
      </c>
    </row>
    <row r="437" spans="1:24">
      <c r="A437" t="s">
        <v>777</v>
      </c>
      <c r="B437">
        <v>7.7</v>
      </c>
      <c r="C437" s="1">
        <v>41380.447222222218</v>
      </c>
      <c r="D437">
        <v>8</v>
      </c>
      <c r="E437">
        <v>8</v>
      </c>
      <c r="F437" t="s">
        <v>18</v>
      </c>
      <c r="G437">
        <v>0</v>
      </c>
      <c r="H437">
        <v>1421</v>
      </c>
      <c r="I437" t="s">
        <v>46</v>
      </c>
      <c r="J437">
        <v>506</v>
      </c>
      <c r="K437">
        <v>0</v>
      </c>
      <c r="L437">
        <v>26.6</v>
      </c>
      <c r="M437" t="s">
        <v>14</v>
      </c>
      <c r="N437">
        <v>80</v>
      </c>
      <c r="O437">
        <v>28.033000000000001</v>
      </c>
      <c r="P437">
        <v>61.996000000000002</v>
      </c>
      <c r="Q437" t="s">
        <v>778</v>
      </c>
      <c r="R437" t="s">
        <v>85</v>
      </c>
      <c r="S437" t="s">
        <v>457</v>
      </c>
      <c r="U437" t="str">
        <f t="shared" si="18"/>
        <v>N km direction of city</v>
      </c>
      <c r="V437" t="str">
        <f t="shared" si="19"/>
        <v>mww</v>
      </c>
      <c r="X437">
        <f t="shared" si="20"/>
        <v>2013</v>
      </c>
    </row>
    <row r="438" spans="1:24">
      <c r="A438" t="s">
        <v>779</v>
      </c>
      <c r="B438">
        <v>6.6</v>
      </c>
      <c r="C438" s="1">
        <v>41378.063888888893</v>
      </c>
      <c r="D438">
        <v>0</v>
      </c>
      <c r="E438">
        <v>5</v>
      </c>
      <c r="F438" t="s">
        <v>15</v>
      </c>
      <c r="G438">
        <v>1</v>
      </c>
      <c r="H438">
        <v>670</v>
      </c>
      <c r="I438" t="s">
        <v>46</v>
      </c>
      <c r="J438">
        <v>491</v>
      </c>
      <c r="K438">
        <v>0</v>
      </c>
      <c r="L438">
        <v>11.5</v>
      </c>
      <c r="M438" t="s">
        <v>14</v>
      </c>
      <c r="N438">
        <v>31</v>
      </c>
      <c r="O438">
        <v>-6.4749999999999996</v>
      </c>
      <c r="P438">
        <v>154.607</v>
      </c>
      <c r="Q438" t="s">
        <v>506</v>
      </c>
      <c r="U438" t="str">
        <f t="shared" si="18"/>
        <v>N km direction of city</v>
      </c>
      <c r="V438" t="str">
        <f t="shared" si="19"/>
        <v>mww</v>
      </c>
      <c r="X438">
        <f t="shared" si="20"/>
        <v>2013</v>
      </c>
    </row>
    <row r="439" spans="1:24">
      <c r="A439" t="s">
        <v>780</v>
      </c>
      <c r="B439">
        <v>7</v>
      </c>
      <c r="C439" s="1">
        <v>41370.195833333331</v>
      </c>
      <c r="D439">
        <v>3</v>
      </c>
      <c r="E439">
        <v>7</v>
      </c>
      <c r="F439" t="s">
        <v>15</v>
      </c>
      <c r="G439">
        <v>1</v>
      </c>
      <c r="H439">
        <v>755</v>
      </c>
      <c r="I439" t="s">
        <v>46</v>
      </c>
      <c r="J439">
        <v>640</v>
      </c>
      <c r="K439">
        <v>0</v>
      </c>
      <c r="L439">
        <v>11.4</v>
      </c>
      <c r="M439" t="s">
        <v>14</v>
      </c>
      <c r="N439">
        <v>66</v>
      </c>
      <c r="O439">
        <v>-3.5169999999999999</v>
      </c>
      <c r="P439">
        <v>138.476</v>
      </c>
      <c r="Q439" t="s">
        <v>624</v>
      </c>
      <c r="S439" t="s">
        <v>77</v>
      </c>
      <c r="U439" t="str">
        <f t="shared" si="18"/>
        <v>N km direction of city</v>
      </c>
      <c r="V439" t="str">
        <f t="shared" si="19"/>
        <v>mww</v>
      </c>
      <c r="X439">
        <f t="shared" si="20"/>
        <v>2013</v>
      </c>
    </row>
    <row r="440" spans="1:24">
      <c r="A440" t="s">
        <v>781</v>
      </c>
      <c r="B440">
        <v>6.5</v>
      </c>
      <c r="C440" s="1">
        <v>41343.95208333333</v>
      </c>
      <c r="D440">
        <v>0</v>
      </c>
      <c r="E440">
        <v>6</v>
      </c>
      <c r="F440" t="s">
        <v>15</v>
      </c>
      <c r="G440">
        <v>1</v>
      </c>
      <c r="H440">
        <v>650</v>
      </c>
      <c r="I440" t="s">
        <v>46</v>
      </c>
      <c r="J440">
        <v>317</v>
      </c>
      <c r="K440">
        <v>0</v>
      </c>
      <c r="L440">
        <v>14.2</v>
      </c>
      <c r="M440" t="s">
        <v>14</v>
      </c>
      <c r="N440">
        <v>28</v>
      </c>
      <c r="O440">
        <v>-6.5979999999999999</v>
      </c>
      <c r="P440">
        <v>148.17400000000001</v>
      </c>
      <c r="Q440" t="s">
        <v>674</v>
      </c>
      <c r="S440" t="s">
        <v>89</v>
      </c>
      <c r="U440" t="str">
        <f t="shared" si="18"/>
        <v>N km direction of city</v>
      </c>
      <c r="V440" t="str">
        <f t="shared" si="19"/>
        <v>mww</v>
      </c>
      <c r="X440">
        <f t="shared" si="20"/>
        <v>2013</v>
      </c>
    </row>
    <row r="441" spans="1:24">
      <c r="A441" t="s">
        <v>782</v>
      </c>
      <c r="B441">
        <v>6.5</v>
      </c>
      <c r="C441" s="1">
        <v>41334.555555555547</v>
      </c>
      <c r="D441">
        <v>3</v>
      </c>
      <c r="E441">
        <v>6</v>
      </c>
      <c r="F441" t="s">
        <v>15</v>
      </c>
      <c r="G441">
        <v>0</v>
      </c>
      <c r="H441">
        <v>651</v>
      </c>
      <c r="I441" t="s">
        <v>46</v>
      </c>
      <c r="J441">
        <v>480</v>
      </c>
      <c r="K441">
        <v>0</v>
      </c>
      <c r="L441">
        <v>20.7</v>
      </c>
      <c r="M441" t="s">
        <v>14</v>
      </c>
      <c r="N441">
        <v>29</v>
      </c>
      <c r="O441">
        <v>50.957999999999998</v>
      </c>
      <c r="P441">
        <v>157.40799999999999</v>
      </c>
      <c r="Q441" t="s">
        <v>397</v>
      </c>
      <c r="R441" t="s">
        <v>85</v>
      </c>
      <c r="U441" t="str">
        <f t="shared" si="18"/>
        <v>N km direction of city</v>
      </c>
      <c r="V441" t="str">
        <f t="shared" si="19"/>
        <v>mww</v>
      </c>
      <c r="X441">
        <f t="shared" si="20"/>
        <v>2013</v>
      </c>
    </row>
    <row r="442" spans="1:24">
      <c r="A442" t="s">
        <v>783</v>
      </c>
      <c r="B442">
        <v>6.9</v>
      </c>
      <c r="C442" s="1">
        <v>41333.586805555547</v>
      </c>
      <c r="D442">
        <v>5</v>
      </c>
      <c r="E442">
        <v>6</v>
      </c>
      <c r="F442" t="s">
        <v>15</v>
      </c>
      <c r="G442">
        <v>1</v>
      </c>
      <c r="H442">
        <v>736</v>
      </c>
      <c r="I442" t="s">
        <v>46</v>
      </c>
      <c r="J442">
        <v>531</v>
      </c>
      <c r="K442">
        <v>0</v>
      </c>
      <c r="L442">
        <v>20.7</v>
      </c>
      <c r="M442" t="s">
        <v>14</v>
      </c>
      <c r="N442">
        <v>41</v>
      </c>
      <c r="O442">
        <v>50.954000000000001</v>
      </c>
      <c r="P442">
        <v>157.28299999999999</v>
      </c>
      <c r="Q442" t="s">
        <v>397</v>
      </c>
      <c r="R442" t="s">
        <v>85</v>
      </c>
      <c r="U442" t="str">
        <f t="shared" si="18"/>
        <v>N km direction of city</v>
      </c>
      <c r="V442" t="str">
        <f t="shared" si="19"/>
        <v>mww</v>
      </c>
      <c r="X442">
        <f t="shared" si="20"/>
        <v>2013</v>
      </c>
    </row>
    <row r="443" spans="1:24">
      <c r="A443" t="s">
        <v>784</v>
      </c>
      <c r="B443">
        <v>6.6</v>
      </c>
      <c r="C443" s="1">
        <v>41319.550694444442</v>
      </c>
      <c r="D443">
        <v>0</v>
      </c>
      <c r="E443">
        <v>7</v>
      </c>
      <c r="F443" t="s">
        <v>15</v>
      </c>
      <c r="G443">
        <v>1</v>
      </c>
      <c r="H443">
        <v>670</v>
      </c>
      <c r="I443" t="s">
        <v>46</v>
      </c>
      <c r="J443">
        <v>697</v>
      </c>
      <c r="K443">
        <v>0</v>
      </c>
      <c r="L443">
        <v>15.3</v>
      </c>
      <c r="M443" t="s">
        <v>14</v>
      </c>
      <c r="N443">
        <v>11</v>
      </c>
      <c r="O443">
        <v>67.631</v>
      </c>
      <c r="P443">
        <v>142.50800000000001</v>
      </c>
      <c r="Q443" t="s">
        <v>785</v>
      </c>
      <c r="R443" t="s">
        <v>85</v>
      </c>
      <c r="S443" t="s">
        <v>310</v>
      </c>
      <c r="U443" t="str">
        <f t="shared" si="18"/>
        <v>N km direction of city</v>
      </c>
      <c r="V443" t="str">
        <f t="shared" si="19"/>
        <v>mww</v>
      </c>
      <c r="X443">
        <f t="shared" si="20"/>
        <v>2013</v>
      </c>
    </row>
    <row r="444" spans="1:24">
      <c r="A444" t="s">
        <v>786</v>
      </c>
      <c r="B444">
        <v>6.6</v>
      </c>
      <c r="C444" s="1">
        <v>41314.876388888893</v>
      </c>
      <c r="D444">
        <v>0</v>
      </c>
      <c r="E444">
        <v>6</v>
      </c>
      <c r="F444" t="s">
        <v>15</v>
      </c>
      <c r="G444">
        <v>1</v>
      </c>
      <c r="H444">
        <v>670</v>
      </c>
      <c r="I444" t="s">
        <v>46</v>
      </c>
      <c r="J444">
        <v>421</v>
      </c>
      <c r="K444">
        <v>0</v>
      </c>
      <c r="L444">
        <v>16.600000000000001</v>
      </c>
      <c r="M444" t="s">
        <v>14</v>
      </c>
      <c r="N444">
        <v>18</v>
      </c>
      <c r="O444">
        <v>-10.994</v>
      </c>
      <c r="P444">
        <v>165.74100000000001</v>
      </c>
      <c r="Q444" t="s">
        <v>299</v>
      </c>
      <c r="S444" t="s">
        <v>124</v>
      </c>
      <c r="U444" t="str">
        <f t="shared" si="18"/>
        <v>N km direction of city</v>
      </c>
      <c r="V444" t="str">
        <f t="shared" si="19"/>
        <v>mww</v>
      </c>
      <c r="X444">
        <f t="shared" si="20"/>
        <v>2013</v>
      </c>
    </row>
    <row r="445" spans="1:24">
      <c r="A445" t="s">
        <v>787</v>
      </c>
      <c r="B445">
        <v>6.9</v>
      </c>
      <c r="C445" s="1">
        <v>41314.594444444447</v>
      </c>
      <c r="D445">
        <v>5</v>
      </c>
      <c r="E445">
        <v>5</v>
      </c>
      <c r="F445" t="s">
        <v>15</v>
      </c>
      <c r="G445">
        <v>1</v>
      </c>
      <c r="H445">
        <v>904</v>
      </c>
      <c r="I445" t="s">
        <v>46</v>
      </c>
      <c r="J445">
        <v>562</v>
      </c>
      <c r="K445">
        <v>0</v>
      </c>
      <c r="L445">
        <v>23.7</v>
      </c>
      <c r="M445" t="s">
        <v>14</v>
      </c>
      <c r="N445">
        <v>145</v>
      </c>
      <c r="O445">
        <v>1.135</v>
      </c>
      <c r="P445">
        <v>-77.393000000000001</v>
      </c>
      <c r="Q445" t="s">
        <v>788</v>
      </c>
      <c r="R445" t="s">
        <v>53</v>
      </c>
      <c r="S445" t="s">
        <v>68</v>
      </c>
      <c r="U445" t="str">
        <f t="shared" si="18"/>
        <v>N km direction of city</v>
      </c>
      <c r="V445" t="str">
        <f t="shared" si="19"/>
        <v>mww</v>
      </c>
      <c r="X445">
        <f t="shared" si="20"/>
        <v>2013</v>
      </c>
    </row>
    <row r="446" spans="1:24">
      <c r="A446" t="s">
        <v>789</v>
      </c>
      <c r="B446">
        <v>7.1</v>
      </c>
      <c r="C446" s="1">
        <v>41313.643055555563</v>
      </c>
      <c r="D446">
        <v>9</v>
      </c>
      <c r="E446">
        <v>6</v>
      </c>
      <c r="F446" t="s">
        <v>15</v>
      </c>
      <c r="G446">
        <v>1</v>
      </c>
      <c r="H446">
        <v>780</v>
      </c>
      <c r="I446" t="s">
        <v>46</v>
      </c>
      <c r="J446">
        <v>334</v>
      </c>
      <c r="K446">
        <v>0</v>
      </c>
      <c r="L446">
        <v>16.5</v>
      </c>
      <c r="M446" t="s">
        <v>14</v>
      </c>
      <c r="N446">
        <v>21</v>
      </c>
      <c r="O446">
        <v>-10.928000000000001</v>
      </c>
      <c r="P446">
        <v>166.018</v>
      </c>
      <c r="Q446" t="s">
        <v>299</v>
      </c>
      <c r="S446" t="s">
        <v>124</v>
      </c>
      <c r="U446" t="str">
        <f t="shared" si="18"/>
        <v>N km direction of city</v>
      </c>
      <c r="V446" t="str">
        <f t="shared" si="19"/>
        <v>mww</v>
      </c>
      <c r="X446">
        <f t="shared" si="20"/>
        <v>2013</v>
      </c>
    </row>
    <row r="447" spans="1:24">
      <c r="A447" t="s">
        <v>790</v>
      </c>
      <c r="B447">
        <v>6.8</v>
      </c>
      <c r="C447" s="1">
        <v>41313.466666666667</v>
      </c>
      <c r="D447">
        <v>0</v>
      </c>
      <c r="E447">
        <v>7</v>
      </c>
      <c r="F447" t="s">
        <v>15</v>
      </c>
      <c r="G447">
        <v>1</v>
      </c>
      <c r="H447">
        <v>711</v>
      </c>
      <c r="I447" t="s">
        <v>46</v>
      </c>
      <c r="J447">
        <v>400</v>
      </c>
      <c r="K447">
        <v>0</v>
      </c>
      <c r="L447">
        <v>17.5</v>
      </c>
      <c r="M447" t="s">
        <v>14</v>
      </c>
      <c r="N447">
        <v>12</v>
      </c>
      <c r="O447">
        <v>-10.837999999999999</v>
      </c>
      <c r="P447">
        <v>165.96899999999999</v>
      </c>
      <c r="Q447" t="s">
        <v>299</v>
      </c>
      <c r="S447" t="s">
        <v>124</v>
      </c>
      <c r="U447" t="str">
        <f t="shared" si="18"/>
        <v>N km direction of city</v>
      </c>
      <c r="V447" t="str">
        <f t="shared" si="19"/>
        <v>mww</v>
      </c>
      <c r="X447">
        <f t="shared" si="20"/>
        <v>2013</v>
      </c>
    </row>
    <row r="448" spans="1:24">
      <c r="A448" t="s">
        <v>791</v>
      </c>
      <c r="B448">
        <v>6.7</v>
      </c>
      <c r="C448" s="1">
        <v>41312.790972222218</v>
      </c>
      <c r="D448">
        <v>0</v>
      </c>
      <c r="E448">
        <v>6</v>
      </c>
      <c r="F448" t="s">
        <v>15</v>
      </c>
      <c r="G448">
        <v>1</v>
      </c>
      <c r="H448">
        <v>691</v>
      </c>
      <c r="I448" t="s">
        <v>46</v>
      </c>
      <c r="J448">
        <v>387</v>
      </c>
      <c r="K448">
        <v>0</v>
      </c>
      <c r="L448">
        <v>26.5</v>
      </c>
      <c r="M448" t="s">
        <v>14</v>
      </c>
      <c r="N448">
        <v>11</v>
      </c>
      <c r="O448">
        <v>-10.997</v>
      </c>
      <c r="P448">
        <v>165.655</v>
      </c>
      <c r="Q448" t="s">
        <v>299</v>
      </c>
      <c r="S448" t="s">
        <v>124</v>
      </c>
      <c r="U448" t="str">
        <f t="shared" si="18"/>
        <v>N km direction of city</v>
      </c>
      <c r="V448" t="str">
        <f t="shared" si="19"/>
        <v>mww</v>
      </c>
      <c r="X448">
        <f t="shared" si="20"/>
        <v>2013</v>
      </c>
    </row>
    <row r="449" spans="1:24">
      <c r="A449" t="s">
        <v>792</v>
      </c>
      <c r="B449">
        <v>7</v>
      </c>
      <c r="C449" s="1">
        <v>41311.07916666667</v>
      </c>
      <c r="D449">
        <v>0</v>
      </c>
      <c r="E449">
        <v>6</v>
      </c>
      <c r="F449" t="s">
        <v>15</v>
      </c>
      <c r="G449">
        <v>0</v>
      </c>
      <c r="H449">
        <v>754</v>
      </c>
      <c r="I449" t="s">
        <v>46</v>
      </c>
      <c r="J449">
        <v>445</v>
      </c>
      <c r="K449">
        <v>0</v>
      </c>
      <c r="L449">
        <v>17.5</v>
      </c>
      <c r="M449" t="s">
        <v>14</v>
      </c>
      <c r="N449">
        <v>8.8000000000000007</v>
      </c>
      <c r="O449">
        <v>-10.499000000000001</v>
      </c>
      <c r="P449">
        <v>165.58799999999999</v>
      </c>
      <c r="Q449" t="s">
        <v>299</v>
      </c>
      <c r="S449" t="s">
        <v>124</v>
      </c>
      <c r="U449" t="str">
        <f t="shared" si="18"/>
        <v>N km direction of city</v>
      </c>
      <c r="V449" t="str">
        <f t="shared" si="19"/>
        <v>mww</v>
      </c>
      <c r="X449">
        <f t="shared" si="20"/>
        <v>2013</v>
      </c>
    </row>
    <row r="450" spans="1:24">
      <c r="A450" t="s">
        <v>793</v>
      </c>
      <c r="B450">
        <v>7.1</v>
      </c>
      <c r="C450" s="1">
        <v>41311.057638888888</v>
      </c>
      <c r="D450">
        <v>0</v>
      </c>
      <c r="E450">
        <v>5</v>
      </c>
      <c r="F450" t="s">
        <v>15</v>
      </c>
      <c r="G450">
        <v>0</v>
      </c>
      <c r="H450">
        <v>776</v>
      </c>
      <c r="I450" t="s">
        <v>46</v>
      </c>
      <c r="J450">
        <v>550</v>
      </c>
      <c r="K450">
        <v>0</v>
      </c>
      <c r="L450">
        <v>18.399999999999999</v>
      </c>
      <c r="M450" t="s">
        <v>14</v>
      </c>
      <c r="N450">
        <v>10</v>
      </c>
      <c r="O450">
        <v>-11.183</v>
      </c>
      <c r="P450">
        <v>164.88200000000001</v>
      </c>
      <c r="Q450" t="s">
        <v>299</v>
      </c>
      <c r="U450" t="str">
        <f t="shared" ref="U450:U513" si="21">IF(ISNUMBER(SEARCH("km",A450)),"N km direction of city","Named-region")</f>
        <v>N km direction of city</v>
      </c>
      <c r="V450" t="str">
        <f t="shared" ref="V450:V513" si="22">LOWER(M450)</f>
        <v>mww</v>
      </c>
      <c r="X450">
        <f t="shared" ref="X450:X513" si="23">YEAR(C450)</f>
        <v>2013</v>
      </c>
    </row>
    <row r="451" spans="1:24">
      <c r="A451" t="s">
        <v>794</v>
      </c>
      <c r="B451">
        <v>8</v>
      </c>
      <c r="C451" s="1">
        <v>41311.050000000003</v>
      </c>
      <c r="D451">
        <v>8</v>
      </c>
      <c r="E451">
        <v>7</v>
      </c>
      <c r="F451" t="s">
        <v>15</v>
      </c>
      <c r="G451">
        <v>1</v>
      </c>
      <c r="H451">
        <v>993</v>
      </c>
      <c r="I451" t="s">
        <v>46</v>
      </c>
      <c r="J451">
        <v>460</v>
      </c>
      <c r="K451">
        <v>0</v>
      </c>
      <c r="L451">
        <v>20.9</v>
      </c>
      <c r="M451" t="s">
        <v>14</v>
      </c>
      <c r="N451">
        <v>24</v>
      </c>
      <c r="O451">
        <v>-10.798999999999999</v>
      </c>
      <c r="P451">
        <v>165.114</v>
      </c>
      <c r="Q451" t="s">
        <v>299</v>
      </c>
      <c r="U451" t="str">
        <f t="shared" si="21"/>
        <v>N km direction of city</v>
      </c>
      <c r="V451" t="str">
        <f t="shared" si="22"/>
        <v>mww</v>
      </c>
      <c r="X451">
        <f t="shared" si="23"/>
        <v>2013</v>
      </c>
    </row>
    <row r="452" spans="1:24">
      <c r="A452" t="s">
        <v>795</v>
      </c>
      <c r="B452">
        <v>6.9</v>
      </c>
      <c r="C452" s="1">
        <v>41307.595138888893</v>
      </c>
      <c r="D452">
        <v>6</v>
      </c>
      <c r="E452">
        <v>7</v>
      </c>
      <c r="F452" t="s">
        <v>18</v>
      </c>
      <c r="G452">
        <v>0</v>
      </c>
      <c r="H452">
        <v>814</v>
      </c>
      <c r="I452" t="s">
        <v>46</v>
      </c>
      <c r="J452">
        <v>686</v>
      </c>
      <c r="K452">
        <v>0</v>
      </c>
      <c r="L452">
        <v>28</v>
      </c>
      <c r="M452" t="s">
        <v>14</v>
      </c>
      <c r="N452">
        <v>107</v>
      </c>
      <c r="O452">
        <v>42.77</v>
      </c>
      <c r="P452">
        <v>143.09200000000001</v>
      </c>
      <c r="Q452" t="s">
        <v>796</v>
      </c>
      <c r="R452" t="s">
        <v>85</v>
      </c>
      <c r="S452" t="s">
        <v>243</v>
      </c>
      <c r="U452" t="str">
        <f t="shared" si="21"/>
        <v>N km direction of city</v>
      </c>
      <c r="V452" t="str">
        <f t="shared" si="22"/>
        <v>mww</v>
      </c>
      <c r="X452">
        <f t="shared" si="23"/>
        <v>2013</v>
      </c>
    </row>
    <row r="453" spans="1:24">
      <c r="A453" t="s">
        <v>797</v>
      </c>
      <c r="B453">
        <v>6.8</v>
      </c>
      <c r="C453" s="1">
        <v>41304.84375</v>
      </c>
      <c r="D453">
        <v>6</v>
      </c>
      <c r="E453">
        <v>7</v>
      </c>
      <c r="F453" t="s">
        <v>15</v>
      </c>
      <c r="G453">
        <v>0</v>
      </c>
      <c r="H453">
        <v>771</v>
      </c>
      <c r="I453" t="s">
        <v>46</v>
      </c>
      <c r="J453">
        <v>596</v>
      </c>
      <c r="K453">
        <v>0</v>
      </c>
      <c r="L453">
        <v>19.3</v>
      </c>
      <c r="M453" t="s">
        <v>14</v>
      </c>
      <c r="N453">
        <v>45</v>
      </c>
      <c r="O453">
        <v>-28.094000000000001</v>
      </c>
      <c r="P453">
        <v>-70.653000000000006</v>
      </c>
      <c r="Q453" t="s">
        <v>273</v>
      </c>
      <c r="R453" t="s">
        <v>53</v>
      </c>
      <c r="S453" t="s">
        <v>275</v>
      </c>
      <c r="U453" t="str">
        <f t="shared" si="21"/>
        <v>N km direction of city</v>
      </c>
      <c r="V453" t="str">
        <f t="shared" si="22"/>
        <v>mww</v>
      </c>
      <c r="X453">
        <f t="shared" si="23"/>
        <v>2013</v>
      </c>
    </row>
    <row r="454" spans="1:24">
      <c r="A454" t="s">
        <v>798</v>
      </c>
      <c r="B454">
        <v>7.5</v>
      </c>
      <c r="C454" s="1">
        <v>41279.373611111107</v>
      </c>
      <c r="D454">
        <v>6</v>
      </c>
      <c r="E454">
        <v>6</v>
      </c>
      <c r="G454">
        <v>0</v>
      </c>
      <c r="H454">
        <v>1425</v>
      </c>
      <c r="I454" t="s">
        <v>202</v>
      </c>
      <c r="J454">
        <v>0</v>
      </c>
      <c r="K454">
        <v>0</v>
      </c>
      <c r="L454">
        <v>0</v>
      </c>
      <c r="M454" t="s">
        <v>11</v>
      </c>
      <c r="N454">
        <v>8.6999999999999993</v>
      </c>
      <c r="O454">
        <v>55.228000000000002</v>
      </c>
      <c r="P454">
        <v>-134.85900000000001</v>
      </c>
      <c r="Q454" t="s">
        <v>799</v>
      </c>
      <c r="U454" t="str">
        <f t="shared" si="21"/>
        <v>N km direction of city</v>
      </c>
      <c r="V454" t="str">
        <f t="shared" si="22"/>
        <v>mw</v>
      </c>
      <c r="X454">
        <f t="shared" si="23"/>
        <v>2013</v>
      </c>
    </row>
    <row r="455" spans="1:24">
      <c r="A455" t="s">
        <v>800</v>
      </c>
      <c r="B455">
        <v>6.7</v>
      </c>
      <c r="C455" s="1">
        <v>41264.936111111107</v>
      </c>
      <c r="D455">
        <v>0</v>
      </c>
      <c r="E455">
        <v>4</v>
      </c>
      <c r="G455">
        <v>0</v>
      </c>
      <c r="H455">
        <v>691</v>
      </c>
      <c r="I455" t="s">
        <v>46</v>
      </c>
      <c r="J455">
        <v>521</v>
      </c>
      <c r="K455">
        <v>0</v>
      </c>
      <c r="L455">
        <v>13.7</v>
      </c>
      <c r="M455" t="s">
        <v>14</v>
      </c>
      <c r="N455">
        <v>200.7</v>
      </c>
      <c r="O455">
        <v>-14.343999999999999</v>
      </c>
      <c r="P455">
        <v>167.286</v>
      </c>
      <c r="Q455" t="s">
        <v>47</v>
      </c>
      <c r="S455" t="s">
        <v>48</v>
      </c>
      <c r="U455" t="str">
        <f t="shared" si="21"/>
        <v>N km direction of city</v>
      </c>
      <c r="V455" t="str">
        <f t="shared" si="22"/>
        <v>mww</v>
      </c>
      <c r="X455">
        <f t="shared" si="23"/>
        <v>2012</v>
      </c>
    </row>
    <row r="456" spans="1:24">
      <c r="A456" t="s">
        <v>801</v>
      </c>
      <c r="B456">
        <v>7.1</v>
      </c>
      <c r="C456" s="1">
        <v>41253.703472222223</v>
      </c>
      <c r="D456">
        <v>5</v>
      </c>
      <c r="E456">
        <v>5</v>
      </c>
      <c r="G456">
        <v>0</v>
      </c>
      <c r="H456">
        <v>843</v>
      </c>
      <c r="I456" t="s">
        <v>46</v>
      </c>
      <c r="J456">
        <v>517</v>
      </c>
      <c r="K456">
        <v>0</v>
      </c>
      <c r="L456">
        <v>8.6999999999999993</v>
      </c>
      <c r="M456" t="s">
        <v>14</v>
      </c>
      <c r="N456">
        <v>155</v>
      </c>
      <c r="O456">
        <v>-6.5330000000000004</v>
      </c>
      <c r="P456">
        <v>129.82499999999999</v>
      </c>
      <c r="Q456" t="s">
        <v>301</v>
      </c>
      <c r="S456" t="s">
        <v>77</v>
      </c>
      <c r="U456" t="str">
        <f t="shared" si="21"/>
        <v>Named-region</v>
      </c>
      <c r="V456" t="str">
        <f t="shared" si="22"/>
        <v>mww</v>
      </c>
      <c r="X456">
        <f t="shared" si="23"/>
        <v>2012</v>
      </c>
    </row>
    <row r="457" spans="1:24">
      <c r="A457" t="s">
        <v>802</v>
      </c>
      <c r="B457">
        <v>7.3</v>
      </c>
      <c r="C457" s="1">
        <v>41250.345833333333</v>
      </c>
      <c r="D457">
        <v>6</v>
      </c>
      <c r="E457">
        <v>5</v>
      </c>
      <c r="G457">
        <v>0</v>
      </c>
      <c r="H457">
        <v>1014</v>
      </c>
      <c r="I457" t="s">
        <v>46</v>
      </c>
      <c r="J457">
        <v>918</v>
      </c>
      <c r="K457">
        <v>0</v>
      </c>
      <c r="L457">
        <v>14.8</v>
      </c>
      <c r="M457" t="s">
        <v>14</v>
      </c>
      <c r="N457">
        <v>31</v>
      </c>
      <c r="O457">
        <v>37.89</v>
      </c>
      <c r="P457">
        <v>143.94900000000001</v>
      </c>
      <c r="Q457" t="s">
        <v>640</v>
      </c>
      <c r="U457" t="str">
        <f t="shared" si="21"/>
        <v>N km direction of city</v>
      </c>
      <c r="V457" t="str">
        <f t="shared" si="22"/>
        <v>mww</v>
      </c>
      <c r="X457">
        <f t="shared" si="23"/>
        <v>2012</v>
      </c>
    </row>
    <row r="458" spans="1:24">
      <c r="A458" t="s">
        <v>803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46</v>
      </c>
      <c r="J458">
        <v>598</v>
      </c>
      <c r="K458">
        <v>0</v>
      </c>
      <c r="L458">
        <v>57.3</v>
      </c>
      <c r="M458" t="s">
        <v>14</v>
      </c>
      <c r="N458">
        <v>20</v>
      </c>
      <c r="O458">
        <v>14.129</v>
      </c>
      <c r="P458">
        <v>-92.164000000000001</v>
      </c>
      <c r="Q458" t="s">
        <v>804</v>
      </c>
      <c r="U458" t="str">
        <f t="shared" si="21"/>
        <v>N km direction of city</v>
      </c>
      <c r="V458" t="str">
        <f t="shared" si="22"/>
        <v>mww</v>
      </c>
      <c r="X458">
        <f t="shared" si="23"/>
        <v>2012</v>
      </c>
    </row>
    <row r="459" spans="1:24">
      <c r="A459" t="s">
        <v>805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46</v>
      </c>
      <c r="J459">
        <v>391</v>
      </c>
      <c r="K459">
        <v>0</v>
      </c>
      <c r="L459">
        <v>13.7</v>
      </c>
      <c r="M459" t="s">
        <v>14</v>
      </c>
      <c r="N459">
        <v>13.7</v>
      </c>
      <c r="O459">
        <v>23.004999999999999</v>
      </c>
      <c r="P459">
        <v>95.885000000000005</v>
      </c>
      <c r="Q459" t="s">
        <v>806</v>
      </c>
      <c r="R459" t="s">
        <v>85</v>
      </c>
      <c r="S459" t="s">
        <v>547</v>
      </c>
      <c r="U459" t="str">
        <f t="shared" si="21"/>
        <v>N km direction of city</v>
      </c>
      <c r="V459" t="str">
        <f t="shared" si="22"/>
        <v>mww</v>
      </c>
      <c r="X459">
        <f t="shared" si="23"/>
        <v>2012</v>
      </c>
    </row>
    <row r="460" spans="1:24">
      <c r="A460" t="s">
        <v>807</v>
      </c>
      <c r="B460">
        <v>7.4</v>
      </c>
      <c r="C460" s="1">
        <v>41220.690972222219</v>
      </c>
      <c r="D460">
        <v>8</v>
      </c>
      <c r="E460">
        <v>7</v>
      </c>
      <c r="F460" t="s">
        <v>18</v>
      </c>
      <c r="G460">
        <v>0</v>
      </c>
      <c r="H460">
        <v>1455</v>
      </c>
      <c r="I460" t="s">
        <v>46</v>
      </c>
      <c r="J460">
        <v>751</v>
      </c>
      <c r="K460">
        <v>0</v>
      </c>
      <c r="L460">
        <v>25.5</v>
      </c>
      <c r="M460" t="s">
        <v>14</v>
      </c>
      <c r="N460">
        <v>24</v>
      </c>
      <c r="O460">
        <v>13.988</v>
      </c>
      <c r="P460">
        <v>-91.894999999999996</v>
      </c>
      <c r="Q460" t="s">
        <v>804</v>
      </c>
      <c r="U460" t="str">
        <f t="shared" si="21"/>
        <v>N km direction of city</v>
      </c>
      <c r="V460" t="str">
        <f t="shared" si="22"/>
        <v>mww</v>
      </c>
      <c r="X460">
        <f t="shared" si="23"/>
        <v>2012</v>
      </c>
    </row>
    <row r="461" spans="1:24">
      <c r="A461" t="s">
        <v>808</v>
      </c>
      <c r="B461">
        <v>7.8</v>
      </c>
      <c r="C461" s="1">
        <v>41210.12777777778</v>
      </c>
      <c r="D461">
        <v>8</v>
      </c>
      <c r="E461">
        <v>7</v>
      </c>
      <c r="G461">
        <v>0</v>
      </c>
      <c r="H461">
        <v>1726</v>
      </c>
      <c r="I461" t="s">
        <v>46</v>
      </c>
      <c r="J461">
        <v>807</v>
      </c>
      <c r="K461">
        <v>0</v>
      </c>
      <c r="L461">
        <v>42.7</v>
      </c>
      <c r="M461" t="s">
        <v>14</v>
      </c>
      <c r="N461">
        <v>14</v>
      </c>
      <c r="O461">
        <v>52.787999999999997</v>
      </c>
      <c r="P461">
        <v>-132.101</v>
      </c>
      <c r="Q461" t="s">
        <v>809</v>
      </c>
      <c r="R461" t="s">
        <v>139</v>
      </c>
      <c r="S461" t="s">
        <v>810</v>
      </c>
      <c r="U461" t="str">
        <f t="shared" si="21"/>
        <v>N km direction of city</v>
      </c>
      <c r="V461" t="str">
        <f t="shared" si="22"/>
        <v>mww</v>
      </c>
      <c r="X461">
        <f t="shared" si="23"/>
        <v>2012</v>
      </c>
    </row>
    <row r="462" spans="1:24">
      <c r="A462" t="s">
        <v>811</v>
      </c>
      <c r="B462">
        <v>6.5</v>
      </c>
      <c r="C462" s="1">
        <v>41206.03125</v>
      </c>
      <c r="D462">
        <v>6</v>
      </c>
      <c r="E462">
        <v>6</v>
      </c>
      <c r="G462">
        <v>0</v>
      </c>
      <c r="H462">
        <v>745</v>
      </c>
      <c r="I462" t="s">
        <v>46</v>
      </c>
      <c r="J462">
        <v>691</v>
      </c>
      <c r="K462">
        <v>0</v>
      </c>
      <c r="L462">
        <v>34.4</v>
      </c>
      <c r="M462" t="s">
        <v>14</v>
      </c>
      <c r="N462">
        <v>17</v>
      </c>
      <c r="O462">
        <v>10.086</v>
      </c>
      <c r="P462">
        <v>-85.298000000000002</v>
      </c>
      <c r="Q462" t="s">
        <v>454</v>
      </c>
      <c r="S462" t="s">
        <v>454</v>
      </c>
      <c r="U462" t="str">
        <f t="shared" si="21"/>
        <v>Named-region</v>
      </c>
      <c r="V462" t="str">
        <f t="shared" si="22"/>
        <v>mww</v>
      </c>
      <c r="X462">
        <f t="shared" si="23"/>
        <v>2012</v>
      </c>
    </row>
    <row r="463" spans="1:24">
      <c r="A463" t="s">
        <v>812</v>
      </c>
      <c r="B463">
        <v>6.6</v>
      </c>
      <c r="C463" s="1">
        <v>41194.021527777782</v>
      </c>
      <c r="D463">
        <v>3</v>
      </c>
      <c r="E463">
        <v>5</v>
      </c>
      <c r="G463">
        <v>0</v>
      </c>
      <c r="H463">
        <v>675</v>
      </c>
      <c r="I463" t="s">
        <v>46</v>
      </c>
      <c r="J463">
        <v>291</v>
      </c>
      <c r="K463">
        <v>0</v>
      </c>
      <c r="L463">
        <v>17.7</v>
      </c>
      <c r="M463" t="s">
        <v>14</v>
      </c>
      <c r="N463">
        <v>13</v>
      </c>
      <c r="O463">
        <v>-4.8920000000000003</v>
      </c>
      <c r="P463">
        <v>134.03</v>
      </c>
      <c r="Q463" t="s">
        <v>813</v>
      </c>
      <c r="S463" t="s">
        <v>77</v>
      </c>
      <c r="U463" t="str">
        <f t="shared" si="21"/>
        <v>N km direction of city</v>
      </c>
      <c r="V463" t="str">
        <f t="shared" si="22"/>
        <v>mww</v>
      </c>
      <c r="X463">
        <f t="shared" si="23"/>
        <v>2012</v>
      </c>
    </row>
    <row r="464" spans="1:24">
      <c r="A464" t="s">
        <v>814</v>
      </c>
      <c r="B464">
        <v>7.3</v>
      </c>
      <c r="C464" s="1">
        <v>41182.688194444447</v>
      </c>
      <c r="D464">
        <v>7</v>
      </c>
      <c r="E464">
        <v>6</v>
      </c>
      <c r="G464">
        <v>0</v>
      </c>
      <c r="H464">
        <v>1221</v>
      </c>
      <c r="I464" t="s">
        <v>46</v>
      </c>
      <c r="J464">
        <v>934</v>
      </c>
      <c r="K464">
        <v>0</v>
      </c>
      <c r="L464">
        <v>15.5</v>
      </c>
      <c r="M464" t="s">
        <v>14</v>
      </c>
      <c r="N464">
        <v>170</v>
      </c>
      <c r="O464">
        <v>1.929</v>
      </c>
      <c r="P464">
        <v>-76.361999999999995</v>
      </c>
      <c r="Q464" t="s">
        <v>815</v>
      </c>
      <c r="R464" t="s">
        <v>53</v>
      </c>
      <c r="S464" t="s">
        <v>68</v>
      </c>
      <c r="U464" t="str">
        <f t="shared" si="21"/>
        <v>N km direction of city</v>
      </c>
      <c r="V464" t="str">
        <f t="shared" si="22"/>
        <v>mww</v>
      </c>
      <c r="X464">
        <f t="shared" si="23"/>
        <v>2012</v>
      </c>
    </row>
    <row r="465" spans="1:24">
      <c r="A465" t="s">
        <v>816</v>
      </c>
      <c r="B465">
        <v>7.6</v>
      </c>
      <c r="C465" s="1">
        <v>41157.612500000003</v>
      </c>
      <c r="D465">
        <v>8</v>
      </c>
      <c r="E465">
        <v>7</v>
      </c>
      <c r="G465">
        <v>0</v>
      </c>
      <c r="H465">
        <v>1555</v>
      </c>
      <c r="I465" t="s">
        <v>46</v>
      </c>
      <c r="J465">
        <v>703</v>
      </c>
      <c r="K465">
        <v>0</v>
      </c>
      <c r="L465">
        <v>34.299999999999997</v>
      </c>
      <c r="M465" t="s">
        <v>14</v>
      </c>
      <c r="N465">
        <v>35</v>
      </c>
      <c r="O465">
        <v>10.085000000000001</v>
      </c>
      <c r="P465">
        <v>-85.314999999999998</v>
      </c>
      <c r="Q465" t="s">
        <v>817</v>
      </c>
      <c r="S465" t="s">
        <v>454</v>
      </c>
      <c r="U465" t="str">
        <f t="shared" si="21"/>
        <v>N km direction of city</v>
      </c>
      <c r="V465" t="str">
        <f t="shared" si="22"/>
        <v>mww</v>
      </c>
      <c r="X465">
        <f t="shared" si="23"/>
        <v>2012</v>
      </c>
    </row>
    <row r="466" spans="1:24">
      <c r="A466" t="s">
        <v>818</v>
      </c>
      <c r="B466">
        <v>7.6</v>
      </c>
      <c r="C466" s="1">
        <v>41152.532638888893</v>
      </c>
      <c r="D466">
        <v>8</v>
      </c>
      <c r="E466">
        <v>5</v>
      </c>
      <c r="G466">
        <v>0</v>
      </c>
      <c r="H466">
        <v>1115</v>
      </c>
      <c r="I466" t="s">
        <v>46</v>
      </c>
      <c r="J466">
        <v>682</v>
      </c>
      <c r="K466">
        <v>0</v>
      </c>
      <c r="L466">
        <v>10.199999999999999</v>
      </c>
      <c r="M466" t="s">
        <v>14</v>
      </c>
      <c r="N466">
        <v>28</v>
      </c>
      <c r="O466">
        <v>10.811</v>
      </c>
      <c r="P466">
        <v>126.63800000000001</v>
      </c>
      <c r="Q466" t="s">
        <v>819</v>
      </c>
      <c r="U466" t="str">
        <f t="shared" si="21"/>
        <v>N km direction of city</v>
      </c>
      <c r="V466" t="str">
        <f t="shared" si="22"/>
        <v>mww</v>
      </c>
      <c r="X466">
        <f t="shared" si="23"/>
        <v>2012</v>
      </c>
    </row>
    <row r="467" spans="1:24">
      <c r="A467" t="s">
        <v>820</v>
      </c>
      <c r="B467">
        <v>7.3</v>
      </c>
      <c r="C467" s="1">
        <v>41148.192361111112</v>
      </c>
      <c r="D467">
        <v>5</v>
      </c>
      <c r="E467">
        <v>5</v>
      </c>
      <c r="G467">
        <v>0</v>
      </c>
      <c r="H467">
        <v>994</v>
      </c>
      <c r="I467" t="s">
        <v>46</v>
      </c>
      <c r="J467">
        <v>417</v>
      </c>
      <c r="K467">
        <v>0</v>
      </c>
      <c r="L467">
        <v>37</v>
      </c>
      <c r="M467" t="s">
        <v>14</v>
      </c>
      <c r="N467">
        <v>28</v>
      </c>
      <c r="O467">
        <v>12.138999999999999</v>
      </c>
      <c r="P467">
        <v>-88.59</v>
      </c>
      <c r="Q467" t="s">
        <v>525</v>
      </c>
      <c r="U467" t="str">
        <f t="shared" si="21"/>
        <v>N km direction of city</v>
      </c>
      <c r="V467" t="str">
        <f t="shared" si="22"/>
        <v>mww</v>
      </c>
      <c r="X467">
        <f t="shared" si="23"/>
        <v>2012</v>
      </c>
    </row>
    <row r="468" spans="1:24">
      <c r="A468" t="s">
        <v>821</v>
      </c>
      <c r="B468">
        <v>6.6</v>
      </c>
      <c r="C468" s="1">
        <v>41147.628472222219</v>
      </c>
      <c r="D468">
        <v>4</v>
      </c>
      <c r="E468">
        <v>5</v>
      </c>
      <c r="G468">
        <v>0</v>
      </c>
      <c r="H468">
        <v>678</v>
      </c>
      <c r="I468" t="s">
        <v>46</v>
      </c>
      <c r="J468">
        <v>497</v>
      </c>
      <c r="K468">
        <v>0</v>
      </c>
      <c r="L468">
        <v>14.6</v>
      </c>
      <c r="M468" t="s">
        <v>14</v>
      </c>
      <c r="N468">
        <v>91.1</v>
      </c>
      <c r="O468">
        <v>2.19</v>
      </c>
      <c r="P468">
        <v>126.837</v>
      </c>
      <c r="Q468" t="s">
        <v>116</v>
      </c>
      <c r="S468" t="s">
        <v>77</v>
      </c>
      <c r="U468" t="str">
        <f t="shared" si="21"/>
        <v>N km direction of city</v>
      </c>
      <c r="V468" t="str">
        <f t="shared" si="22"/>
        <v>mww</v>
      </c>
      <c r="X468">
        <f t="shared" si="23"/>
        <v>2012</v>
      </c>
    </row>
    <row r="469" spans="1:24">
      <c r="A469" t="s">
        <v>822</v>
      </c>
      <c r="B469">
        <v>7.7</v>
      </c>
      <c r="C469" s="1">
        <v>41135.124305555553</v>
      </c>
      <c r="D469">
        <v>7</v>
      </c>
      <c r="E469">
        <v>4</v>
      </c>
      <c r="G469">
        <v>0</v>
      </c>
      <c r="H469">
        <v>941</v>
      </c>
      <c r="I469" t="s">
        <v>46</v>
      </c>
      <c r="J469">
        <v>862</v>
      </c>
      <c r="K469">
        <v>0</v>
      </c>
      <c r="L469">
        <v>13.8</v>
      </c>
      <c r="M469" t="s">
        <v>14</v>
      </c>
      <c r="N469">
        <v>583.20000000000005</v>
      </c>
      <c r="O469">
        <v>49.8</v>
      </c>
      <c r="P469">
        <v>145.06399999999999</v>
      </c>
      <c r="Q469" t="s">
        <v>823</v>
      </c>
      <c r="U469" t="str">
        <f t="shared" si="21"/>
        <v>N km direction of city</v>
      </c>
      <c r="V469" t="str">
        <f t="shared" si="22"/>
        <v>mww</v>
      </c>
      <c r="X469">
        <f t="shared" si="23"/>
        <v>2012</v>
      </c>
    </row>
    <row r="470" spans="1:24">
      <c r="A470" t="s">
        <v>824</v>
      </c>
      <c r="B470">
        <v>6.5</v>
      </c>
      <c r="C470" s="1">
        <v>41118.835416666669</v>
      </c>
      <c r="D470">
        <v>5</v>
      </c>
      <c r="E470">
        <v>6</v>
      </c>
      <c r="G470">
        <v>0</v>
      </c>
      <c r="H470">
        <v>653</v>
      </c>
      <c r="I470" t="s">
        <v>46</v>
      </c>
      <c r="J470">
        <v>576</v>
      </c>
      <c r="K470">
        <v>0</v>
      </c>
      <c r="L470">
        <v>11.7</v>
      </c>
      <c r="M470" t="s">
        <v>14</v>
      </c>
      <c r="N470">
        <v>41</v>
      </c>
      <c r="O470">
        <v>-4.6509999999999998</v>
      </c>
      <c r="P470">
        <v>153.173</v>
      </c>
      <c r="Q470" t="s">
        <v>434</v>
      </c>
      <c r="S470" t="s">
        <v>89</v>
      </c>
      <c r="U470" t="str">
        <f t="shared" si="21"/>
        <v>N km direction of city</v>
      </c>
      <c r="V470" t="str">
        <f t="shared" si="22"/>
        <v>mww</v>
      </c>
      <c r="X470">
        <f t="shared" si="23"/>
        <v>2012</v>
      </c>
    </row>
    <row r="471" spans="1:24">
      <c r="A471" t="s">
        <v>825</v>
      </c>
      <c r="B471">
        <v>6.6</v>
      </c>
      <c r="C471" s="1">
        <v>41027.422222222223</v>
      </c>
      <c r="D471">
        <v>4</v>
      </c>
      <c r="E471">
        <v>5</v>
      </c>
      <c r="G471">
        <v>0</v>
      </c>
      <c r="H471">
        <v>675</v>
      </c>
      <c r="I471" t="s">
        <v>46</v>
      </c>
      <c r="J471">
        <v>529</v>
      </c>
      <c r="K471">
        <v>0</v>
      </c>
      <c r="L471">
        <v>15.7</v>
      </c>
      <c r="M471" t="s">
        <v>14</v>
      </c>
      <c r="N471">
        <v>134.69999999999999</v>
      </c>
      <c r="O471">
        <v>-18.684999999999999</v>
      </c>
      <c r="P471">
        <v>-174.70500000000001</v>
      </c>
      <c r="Q471" t="s">
        <v>130</v>
      </c>
      <c r="S471" t="s">
        <v>63</v>
      </c>
      <c r="U471" t="str">
        <f t="shared" si="21"/>
        <v>N km direction of city</v>
      </c>
      <c r="V471" t="str">
        <f t="shared" si="22"/>
        <v>mww</v>
      </c>
      <c r="X471">
        <f t="shared" si="23"/>
        <v>2012</v>
      </c>
    </row>
    <row r="472" spans="1:24">
      <c r="A472" t="s">
        <v>826</v>
      </c>
      <c r="B472">
        <v>6.7</v>
      </c>
      <c r="C472" s="1">
        <v>41020.052777777782</v>
      </c>
      <c r="D472">
        <v>0</v>
      </c>
      <c r="E472">
        <v>7</v>
      </c>
      <c r="G472">
        <v>0</v>
      </c>
      <c r="H472">
        <v>691</v>
      </c>
      <c r="I472" t="s">
        <v>46</v>
      </c>
      <c r="J472">
        <v>370</v>
      </c>
      <c r="K472">
        <v>0</v>
      </c>
      <c r="L472">
        <v>15.4</v>
      </c>
      <c r="M472" t="s">
        <v>14</v>
      </c>
      <c r="N472">
        <v>16</v>
      </c>
      <c r="O472">
        <v>-1.617</v>
      </c>
      <c r="P472">
        <v>134.27600000000001</v>
      </c>
      <c r="Q472" t="s">
        <v>827</v>
      </c>
      <c r="S472" t="s">
        <v>77</v>
      </c>
      <c r="U472" t="str">
        <f t="shared" si="21"/>
        <v>N km direction of city</v>
      </c>
      <c r="V472" t="str">
        <f t="shared" si="22"/>
        <v>mww</v>
      </c>
      <c r="X472">
        <f t="shared" si="23"/>
        <v>2012</v>
      </c>
    </row>
    <row r="473" spans="1:24">
      <c r="A473" t="s">
        <v>828</v>
      </c>
      <c r="B473">
        <v>6.8</v>
      </c>
      <c r="C473" s="1">
        <v>41016.300694444442</v>
      </c>
      <c r="D473">
        <v>6</v>
      </c>
      <c r="E473">
        <v>5</v>
      </c>
      <c r="G473">
        <v>0</v>
      </c>
      <c r="H473">
        <v>732</v>
      </c>
      <c r="I473" t="s">
        <v>46</v>
      </c>
      <c r="J473">
        <v>597</v>
      </c>
      <c r="K473">
        <v>0</v>
      </c>
      <c r="L473">
        <v>12.6</v>
      </c>
      <c r="M473" t="s">
        <v>14</v>
      </c>
      <c r="N473">
        <v>198</v>
      </c>
      <c r="O473">
        <v>-5.4619999999999997</v>
      </c>
      <c r="P473">
        <v>147.11699999999999</v>
      </c>
      <c r="Q473" t="s">
        <v>829</v>
      </c>
      <c r="S473" t="s">
        <v>89</v>
      </c>
      <c r="U473" t="str">
        <f t="shared" si="21"/>
        <v>N km direction of city</v>
      </c>
      <c r="V473" t="str">
        <f t="shared" si="22"/>
        <v>mww</v>
      </c>
      <c r="X473">
        <f t="shared" si="23"/>
        <v>2012</v>
      </c>
    </row>
    <row r="474" spans="1:24">
      <c r="A474" t="s">
        <v>830</v>
      </c>
      <c r="B474">
        <v>6.7</v>
      </c>
      <c r="C474" s="1">
        <v>41016.159722222219</v>
      </c>
      <c r="D474">
        <v>0</v>
      </c>
      <c r="E474">
        <v>7</v>
      </c>
      <c r="G474">
        <v>0</v>
      </c>
      <c r="H474">
        <v>691</v>
      </c>
      <c r="I474" t="s">
        <v>46</v>
      </c>
      <c r="J474">
        <v>518</v>
      </c>
      <c r="K474">
        <v>0</v>
      </c>
      <c r="L474">
        <v>26.9</v>
      </c>
      <c r="M474" t="s">
        <v>14</v>
      </c>
      <c r="N474">
        <v>29</v>
      </c>
      <c r="O474">
        <v>-32.625</v>
      </c>
      <c r="P474">
        <v>-71.364999999999995</v>
      </c>
      <c r="Q474" t="s">
        <v>831</v>
      </c>
      <c r="R474" t="s">
        <v>53</v>
      </c>
      <c r="S474" t="s">
        <v>275</v>
      </c>
      <c r="U474" t="str">
        <f t="shared" si="21"/>
        <v>N km direction of city</v>
      </c>
      <c r="V474" t="str">
        <f t="shared" si="22"/>
        <v>mww</v>
      </c>
      <c r="X474">
        <f t="shared" si="23"/>
        <v>2012</v>
      </c>
    </row>
    <row r="475" spans="1:24">
      <c r="A475" t="s">
        <v>832</v>
      </c>
      <c r="B475">
        <v>7</v>
      </c>
      <c r="C475" s="1">
        <v>41011.302083333343</v>
      </c>
      <c r="D475">
        <v>7</v>
      </c>
      <c r="E475">
        <v>7</v>
      </c>
      <c r="G475">
        <v>0</v>
      </c>
      <c r="H475">
        <v>1000</v>
      </c>
      <c r="I475" t="s">
        <v>46</v>
      </c>
      <c r="J475">
        <v>474</v>
      </c>
      <c r="K475">
        <v>0</v>
      </c>
      <c r="L475">
        <v>95.9</v>
      </c>
      <c r="M475" t="s">
        <v>14</v>
      </c>
      <c r="N475">
        <v>13</v>
      </c>
      <c r="O475">
        <v>28.696000000000002</v>
      </c>
      <c r="P475">
        <v>-113.104</v>
      </c>
      <c r="Q475" t="s">
        <v>833</v>
      </c>
      <c r="R475" t="s">
        <v>139</v>
      </c>
      <c r="S475" t="s">
        <v>140</v>
      </c>
      <c r="U475" t="str">
        <f t="shared" si="21"/>
        <v>N km direction of city</v>
      </c>
      <c r="V475" t="str">
        <f t="shared" si="22"/>
        <v>mww</v>
      </c>
      <c r="X475">
        <f t="shared" si="23"/>
        <v>2012</v>
      </c>
    </row>
    <row r="476" spans="1:24">
      <c r="A476" t="s">
        <v>834</v>
      </c>
      <c r="B476">
        <v>6.5</v>
      </c>
      <c r="C476" s="1">
        <v>41010.954861111109</v>
      </c>
      <c r="D476">
        <v>7</v>
      </c>
      <c r="E476">
        <v>6</v>
      </c>
      <c r="G476">
        <v>0</v>
      </c>
      <c r="H476">
        <v>1171</v>
      </c>
      <c r="I476" t="s">
        <v>46</v>
      </c>
      <c r="J476">
        <v>599</v>
      </c>
      <c r="K476">
        <v>0</v>
      </c>
      <c r="L476">
        <v>54.1</v>
      </c>
      <c r="M476" t="s">
        <v>12</v>
      </c>
      <c r="N476">
        <v>20</v>
      </c>
      <c r="O476">
        <v>18.228999999999999</v>
      </c>
      <c r="P476">
        <v>-102.68899999999999</v>
      </c>
      <c r="Q476" t="s">
        <v>835</v>
      </c>
      <c r="R476" t="s">
        <v>139</v>
      </c>
      <c r="S476" t="s">
        <v>140</v>
      </c>
      <c r="U476" t="str">
        <f t="shared" si="21"/>
        <v>N km direction of city</v>
      </c>
      <c r="V476" t="str">
        <f t="shared" si="22"/>
        <v>mwb</v>
      </c>
      <c r="X476">
        <f t="shared" si="23"/>
        <v>2012</v>
      </c>
    </row>
    <row r="477" spans="1:24">
      <c r="A477" t="s">
        <v>836</v>
      </c>
      <c r="B477">
        <v>8.1999999999999993</v>
      </c>
      <c r="C477" s="1">
        <v>41010.446527777778</v>
      </c>
      <c r="D477">
        <v>9</v>
      </c>
      <c r="E477">
        <v>6</v>
      </c>
      <c r="F477" t="s">
        <v>15</v>
      </c>
      <c r="G477">
        <v>0</v>
      </c>
      <c r="H477">
        <v>1213</v>
      </c>
      <c r="I477" t="s">
        <v>46</v>
      </c>
      <c r="J477">
        <v>341</v>
      </c>
      <c r="K477">
        <v>0</v>
      </c>
      <c r="L477">
        <v>14.9</v>
      </c>
      <c r="M477" t="s">
        <v>13</v>
      </c>
      <c r="N477">
        <v>25.1</v>
      </c>
      <c r="O477">
        <v>0.80200000000000005</v>
      </c>
      <c r="P477">
        <v>92.462999999999994</v>
      </c>
      <c r="Q477" t="s">
        <v>837</v>
      </c>
      <c r="U477" t="str">
        <f t="shared" si="21"/>
        <v>Named-region</v>
      </c>
      <c r="V477" t="str">
        <f t="shared" si="22"/>
        <v>mwc</v>
      </c>
      <c r="X477">
        <f t="shared" si="23"/>
        <v>2012</v>
      </c>
    </row>
    <row r="478" spans="1:24">
      <c r="A478" t="s">
        <v>838</v>
      </c>
      <c r="B478">
        <v>8.6</v>
      </c>
      <c r="C478" s="1">
        <v>41010.359722222223</v>
      </c>
      <c r="D478">
        <v>9</v>
      </c>
      <c r="E478">
        <v>7</v>
      </c>
      <c r="F478" t="s">
        <v>18</v>
      </c>
      <c r="G478">
        <v>0</v>
      </c>
      <c r="H478">
        <v>2048</v>
      </c>
      <c r="I478" t="s">
        <v>839</v>
      </c>
      <c r="J478">
        <v>499</v>
      </c>
      <c r="K478">
        <v>0</v>
      </c>
      <c r="L478">
        <v>16.600000000000001</v>
      </c>
      <c r="M478" t="s">
        <v>11</v>
      </c>
      <c r="N478">
        <v>20</v>
      </c>
      <c r="O478">
        <v>2.327</v>
      </c>
      <c r="P478">
        <v>93.063000000000002</v>
      </c>
      <c r="Q478" t="s">
        <v>837</v>
      </c>
      <c r="U478" t="str">
        <f t="shared" si="21"/>
        <v>Named-region</v>
      </c>
      <c r="V478" t="str">
        <f t="shared" si="22"/>
        <v>mw</v>
      </c>
      <c r="X478">
        <f t="shared" si="23"/>
        <v>2012</v>
      </c>
    </row>
    <row r="479" spans="1:24">
      <c r="A479" t="s">
        <v>840</v>
      </c>
      <c r="B479">
        <v>7.1</v>
      </c>
      <c r="C479" s="1">
        <v>40993.942361111112</v>
      </c>
      <c r="D479">
        <v>7</v>
      </c>
      <c r="E479">
        <v>7</v>
      </c>
      <c r="G479">
        <v>0</v>
      </c>
      <c r="H479">
        <v>1496</v>
      </c>
      <c r="I479" t="s">
        <v>46</v>
      </c>
      <c r="J479">
        <v>553</v>
      </c>
      <c r="K479">
        <v>0</v>
      </c>
      <c r="L479">
        <v>15.2</v>
      </c>
      <c r="M479" t="s">
        <v>14</v>
      </c>
      <c r="N479">
        <v>40.700000000000003</v>
      </c>
      <c r="O479">
        <v>-35.200000000000003</v>
      </c>
      <c r="P479">
        <v>-72.216999999999999</v>
      </c>
      <c r="Q479" t="s">
        <v>328</v>
      </c>
      <c r="R479" t="s">
        <v>53</v>
      </c>
      <c r="S479" t="s">
        <v>275</v>
      </c>
      <c r="U479" t="str">
        <f t="shared" si="21"/>
        <v>N km direction of city</v>
      </c>
      <c r="V479" t="str">
        <f t="shared" si="22"/>
        <v>mww</v>
      </c>
      <c r="X479">
        <f t="shared" si="23"/>
        <v>2012</v>
      </c>
    </row>
    <row r="480" spans="1:24">
      <c r="A480" t="s">
        <v>841</v>
      </c>
      <c r="B480">
        <v>6.6</v>
      </c>
      <c r="C480" s="1">
        <v>40989.927083333343</v>
      </c>
      <c r="D480">
        <v>6</v>
      </c>
      <c r="E480">
        <v>6</v>
      </c>
      <c r="G480">
        <v>0</v>
      </c>
      <c r="H480">
        <v>709</v>
      </c>
      <c r="I480" t="s">
        <v>46</v>
      </c>
      <c r="J480">
        <v>640</v>
      </c>
      <c r="K480">
        <v>0</v>
      </c>
      <c r="L480">
        <v>10.1</v>
      </c>
      <c r="M480" t="s">
        <v>14</v>
      </c>
      <c r="N480">
        <v>118</v>
      </c>
      <c r="O480">
        <v>-6.242</v>
      </c>
      <c r="P480">
        <v>145.95500000000001</v>
      </c>
      <c r="Q480" t="s">
        <v>150</v>
      </c>
      <c r="S480" t="s">
        <v>89</v>
      </c>
      <c r="U480" t="str">
        <f t="shared" si="21"/>
        <v>N km direction of city</v>
      </c>
      <c r="V480" t="str">
        <f t="shared" si="22"/>
        <v>mww</v>
      </c>
      <c r="X480">
        <f t="shared" si="23"/>
        <v>2012</v>
      </c>
    </row>
    <row r="481" spans="1:24">
      <c r="A481" t="s">
        <v>842</v>
      </c>
      <c r="B481">
        <v>7.4</v>
      </c>
      <c r="C481" s="1">
        <v>40988.751388888893</v>
      </c>
      <c r="D481">
        <v>9</v>
      </c>
      <c r="E481">
        <v>8</v>
      </c>
      <c r="G481">
        <v>0</v>
      </c>
      <c r="H481">
        <v>1752</v>
      </c>
      <c r="I481" t="s">
        <v>46</v>
      </c>
      <c r="J481">
        <v>672</v>
      </c>
      <c r="K481">
        <v>0</v>
      </c>
      <c r="L481">
        <v>37.9</v>
      </c>
      <c r="M481" t="s">
        <v>14</v>
      </c>
      <c r="N481">
        <v>20</v>
      </c>
      <c r="O481">
        <v>16.492999999999999</v>
      </c>
      <c r="P481">
        <v>-98.230999999999995</v>
      </c>
      <c r="Q481" t="s">
        <v>843</v>
      </c>
      <c r="R481" t="s">
        <v>139</v>
      </c>
      <c r="S481" t="s">
        <v>140</v>
      </c>
      <c r="U481" t="str">
        <f t="shared" si="21"/>
        <v>N km direction of city</v>
      </c>
      <c r="V481" t="str">
        <f t="shared" si="22"/>
        <v>mww</v>
      </c>
      <c r="X481">
        <f t="shared" si="23"/>
        <v>2012</v>
      </c>
    </row>
    <row r="482" spans="1:24">
      <c r="A482" t="s">
        <v>844</v>
      </c>
      <c r="B482">
        <v>6.7</v>
      </c>
      <c r="C482" s="1">
        <v>40965.261805555558</v>
      </c>
      <c r="D482">
        <v>7</v>
      </c>
      <c r="E482">
        <v>7</v>
      </c>
      <c r="G482">
        <v>0</v>
      </c>
      <c r="H482">
        <v>833</v>
      </c>
      <c r="I482" t="s">
        <v>46</v>
      </c>
      <c r="J482">
        <v>596</v>
      </c>
      <c r="K482">
        <v>0</v>
      </c>
      <c r="L482">
        <v>13.4</v>
      </c>
      <c r="M482" t="s">
        <v>14</v>
      </c>
      <c r="N482">
        <v>12</v>
      </c>
      <c r="O482">
        <v>51.707999999999998</v>
      </c>
      <c r="P482">
        <v>95.991</v>
      </c>
      <c r="Q482" t="s">
        <v>845</v>
      </c>
      <c r="R482" t="s">
        <v>85</v>
      </c>
      <c r="S482" t="s">
        <v>310</v>
      </c>
      <c r="U482" t="str">
        <f t="shared" si="21"/>
        <v>N km direction of city</v>
      </c>
      <c r="V482" t="str">
        <f t="shared" si="22"/>
        <v>mww</v>
      </c>
      <c r="X482">
        <f t="shared" si="23"/>
        <v>2012</v>
      </c>
    </row>
    <row r="483" spans="1:24">
      <c r="A483" t="s">
        <v>846</v>
      </c>
      <c r="B483">
        <v>6.7</v>
      </c>
      <c r="C483" s="1">
        <v>40945.15902777778</v>
      </c>
      <c r="D483">
        <v>9</v>
      </c>
      <c r="E483">
        <v>7</v>
      </c>
      <c r="G483">
        <v>0</v>
      </c>
      <c r="H483">
        <v>1551</v>
      </c>
      <c r="I483" t="s">
        <v>46</v>
      </c>
      <c r="J483">
        <v>572</v>
      </c>
      <c r="K483">
        <v>0</v>
      </c>
      <c r="L483">
        <v>11.1</v>
      </c>
      <c r="M483" t="s">
        <v>14</v>
      </c>
      <c r="N483">
        <v>11</v>
      </c>
      <c r="O483">
        <v>9.9990000000000006</v>
      </c>
      <c r="P483">
        <v>123.206</v>
      </c>
      <c r="Q483" t="s">
        <v>847</v>
      </c>
      <c r="S483" t="s">
        <v>158</v>
      </c>
      <c r="U483" t="str">
        <f t="shared" si="21"/>
        <v>N km direction of city</v>
      </c>
      <c r="V483" t="str">
        <f t="shared" si="22"/>
        <v>mww</v>
      </c>
      <c r="X483">
        <f t="shared" si="23"/>
        <v>2012</v>
      </c>
    </row>
    <row r="484" spans="1:24">
      <c r="A484" t="s">
        <v>848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46</v>
      </c>
      <c r="J484">
        <v>573</v>
      </c>
      <c r="K484">
        <v>0</v>
      </c>
      <c r="L484">
        <v>12</v>
      </c>
      <c r="M484" t="s">
        <v>14</v>
      </c>
      <c r="N484">
        <v>23</v>
      </c>
      <c r="O484">
        <v>-17.827000000000002</v>
      </c>
      <c r="P484">
        <v>167.13300000000001</v>
      </c>
      <c r="Q484" t="s">
        <v>661</v>
      </c>
      <c r="U484" t="str">
        <f t="shared" si="21"/>
        <v>N km direction of city</v>
      </c>
      <c r="V484" t="str">
        <f t="shared" si="22"/>
        <v>mww</v>
      </c>
      <c r="X484">
        <f t="shared" si="23"/>
        <v>2012</v>
      </c>
    </row>
    <row r="485" spans="1:24">
      <c r="A485" t="s">
        <v>849</v>
      </c>
      <c r="B485">
        <v>7.2</v>
      </c>
      <c r="C485" s="1">
        <v>40918.775000000001</v>
      </c>
      <c r="D485">
        <v>4</v>
      </c>
      <c r="E485">
        <v>4</v>
      </c>
      <c r="G485">
        <v>0</v>
      </c>
      <c r="H485">
        <v>838</v>
      </c>
      <c r="I485" t="s">
        <v>46</v>
      </c>
      <c r="J485">
        <v>443</v>
      </c>
      <c r="K485">
        <v>0</v>
      </c>
      <c r="L485">
        <v>17</v>
      </c>
      <c r="M485" t="s">
        <v>14</v>
      </c>
      <c r="N485">
        <v>19</v>
      </c>
      <c r="O485">
        <v>2.4329999999999998</v>
      </c>
      <c r="P485">
        <v>93.21</v>
      </c>
      <c r="Q485" t="s">
        <v>837</v>
      </c>
      <c r="U485" t="str">
        <f t="shared" si="21"/>
        <v>Named-region</v>
      </c>
      <c r="V485" t="str">
        <f t="shared" si="22"/>
        <v>mww</v>
      </c>
      <c r="X485">
        <f t="shared" si="23"/>
        <v>2012</v>
      </c>
    </row>
    <row r="486" spans="1:24">
      <c r="A486" t="s">
        <v>850</v>
      </c>
      <c r="B486">
        <v>6.6</v>
      </c>
      <c r="C486" s="1">
        <v>40904.63958333333</v>
      </c>
      <c r="D486">
        <v>0</v>
      </c>
      <c r="E486">
        <v>7</v>
      </c>
      <c r="G486">
        <v>0</v>
      </c>
      <c r="H486">
        <v>670</v>
      </c>
      <c r="I486" t="s">
        <v>46</v>
      </c>
      <c r="J486">
        <v>545</v>
      </c>
      <c r="K486">
        <v>0</v>
      </c>
      <c r="L486">
        <v>17.600000000000001</v>
      </c>
      <c r="M486" t="s">
        <v>14</v>
      </c>
      <c r="N486">
        <v>15</v>
      </c>
      <c r="O486">
        <v>51.841999999999999</v>
      </c>
      <c r="P486">
        <v>95.911000000000001</v>
      </c>
      <c r="Q486" t="s">
        <v>845</v>
      </c>
      <c r="R486" t="s">
        <v>85</v>
      </c>
      <c r="S486" t="s">
        <v>310</v>
      </c>
      <c r="U486" t="str">
        <f t="shared" si="21"/>
        <v>N km direction of city</v>
      </c>
      <c r="V486" t="str">
        <f t="shared" si="22"/>
        <v>mww</v>
      </c>
      <c r="X486">
        <f t="shared" si="23"/>
        <v>2011</v>
      </c>
    </row>
    <row r="487" spans="1:24">
      <c r="A487" t="s">
        <v>851</v>
      </c>
      <c r="B487">
        <v>7.1</v>
      </c>
      <c r="C487" s="1">
        <v>40891.211111111108</v>
      </c>
      <c r="D487">
        <v>6</v>
      </c>
      <c r="E487">
        <v>6</v>
      </c>
      <c r="G487">
        <v>0</v>
      </c>
      <c r="H487">
        <v>834</v>
      </c>
      <c r="I487" t="s">
        <v>46</v>
      </c>
      <c r="J487">
        <v>485</v>
      </c>
      <c r="K487">
        <v>0</v>
      </c>
      <c r="L487">
        <v>10.6</v>
      </c>
      <c r="M487" t="s">
        <v>14</v>
      </c>
      <c r="N487">
        <v>135</v>
      </c>
      <c r="O487">
        <v>-7.5510000000000002</v>
      </c>
      <c r="P487">
        <v>146.809</v>
      </c>
      <c r="Q487" t="s">
        <v>852</v>
      </c>
      <c r="S487" t="s">
        <v>89</v>
      </c>
      <c r="U487" t="str">
        <f t="shared" si="21"/>
        <v>N km direction of city</v>
      </c>
      <c r="V487" t="str">
        <f t="shared" si="22"/>
        <v>mww</v>
      </c>
      <c r="X487">
        <f t="shared" si="23"/>
        <v>2011</v>
      </c>
    </row>
    <row r="488" spans="1:24">
      <c r="A488" t="s">
        <v>853</v>
      </c>
      <c r="B488">
        <v>6.5</v>
      </c>
      <c r="C488" s="1">
        <v>40888.074305555558</v>
      </c>
      <c r="D488">
        <v>8</v>
      </c>
      <c r="E488">
        <v>7</v>
      </c>
      <c r="G488">
        <v>0</v>
      </c>
      <c r="H488">
        <v>1400</v>
      </c>
      <c r="I488" t="s">
        <v>46</v>
      </c>
      <c r="J488">
        <v>578</v>
      </c>
      <c r="K488">
        <v>0</v>
      </c>
      <c r="L488">
        <v>38.6</v>
      </c>
      <c r="M488" t="s">
        <v>14</v>
      </c>
      <c r="N488">
        <v>59</v>
      </c>
      <c r="O488">
        <v>17.986000000000001</v>
      </c>
      <c r="P488">
        <v>-99.789000000000001</v>
      </c>
      <c r="Q488" t="s">
        <v>854</v>
      </c>
      <c r="R488" t="s">
        <v>139</v>
      </c>
      <c r="S488" t="s">
        <v>140</v>
      </c>
      <c r="U488" t="str">
        <f t="shared" si="21"/>
        <v>N km direction of city</v>
      </c>
      <c r="V488" t="str">
        <f t="shared" si="22"/>
        <v>mww</v>
      </c>
      <c r="X488">
        <f t="shared" si="23"/>
        <v>2011</v>
      </c>
    </row>
    <row r="489" spans="1:24">
      <c r="A489" t="s">
        <v>855</v>
      </c>
      <c r="B489">
        <v>6.9</v>
      </c>
      <c r="C489" s="1">
        <v>40844.787499999999</v>
      </c>
      <c r="D489">
        <v>6</v>
      </c>
      <c r="E489">
        <v>7</v>
      </c>
      <c r="G489">
        <v>0</v>
      </c>
      <c r="H489">
        <v>847</v>
      </c>
      <c r="I489" t="s">
        <v>46</v>
      </c>
      <c r="J489">
        <v>474</v>
      </c>
      <c r="K489">
        <v>0</v>
      </c>
      <c r="L489">
        <v>46.5</v>
      </c>
      <c r="M489" t="s">
        <v>14</v>
      </c>
      <c r="N489">
        <v>24</v>
      </c>
      <c r="O489">
        <v>-14.438000000000001</v>
      </c>
      <c r="P489">
        <v>-75.965999999999994</v>
      </c>
      <c r="Q489" t="s">
        <v>856</v>
      </c>
      <c r="R489" t="s">
        <v>53</v>
      </c>
      <c r="S489" t="s">
        <v>164</v>
      </c>
      <c r="U489" t="str">
        <f t="shared" si="21"/>
        <v>N km direction of city</v>
      </c>
      <c r="V489" t="str">
        <f t="shared" si="22"/>
        <v>mww</v>
      </c>
      <c r="X489">
        <f t="shared" si="23"/>
        <v>2011</v>
      </c>
    </row>
    <row r="490" spans="1:24">
      <c r="A490" t="s">
        <v>857</v>
      </c>
      <c r="B490">
        <v>7.1</v>
      </c>
      <c r="C490" s="1">
        <v>40839.445138888892</v>
      </c>
      <c r="D490">
        <v>9</v>
      </c>
      <c r="E490">
        <v>9</v>
      </c>
      <c r="G490">
        <v>0</v>
      </c>
      <c r="H490">
        <v>1096</v>
      </c>
      <c r="I490" t="s">
        <v>46</v>
      </c>
      <c r="J490">
        <v>693</v>
      </c>
      <c r="K490">
        <v>0</v>
      </c>
      <c r="L490">
        <v>19.7</v>
      </c>
      <c r="M490" t="s">
        <v>14</v>
      </c>
      <c r="N490">
        <v>18</v>
      </c>
      <c r="O490">
        <v>38.720999999999997</v>
      </c>
      <c r="P490">
        <v>43.508000000000003</v>
      </c>
      <c r="Q490" t="s">
        <v>858</v>
      </c>
      <c r="R490" t="s">
        <v>85</v>
      </c>
      <c r="S490" t="s">
        <v>315</v>
      </c>
      <c r="U490" t="str">
        <f t="shared" si="21"/>
        <v>N km direction of city</v>
      </c>
      <c r="V490" t="str">
        <f t="shared" si="22"/>
        <v>mww</v>
      </c>
      <c r="X490">
        <f t="shared" si="23"/>
        <v>2011</v>
      </c>
    </row>
    <row r="491" spans="1:24">
      <c r="A491" t="s">
        <v>859</v>
      </c>
      <c r="B491">
        <v>6.5</v>
      </c>
      <c r="C491" s="1">
        <v>40830.149305555547</v>
      </c>
      <c r="D491">
        <v>3</v>
      </c>
      <c r="E491">
        <v>6</v>
      </c>
      <c r="G491">
        <v>0</v>
      </c>
      <c r="H491">
        <v>655</v>
      </c>
      <c r="I491" t="s">
        <v>46</v>
      </c>
      <c r="J491">
        <v>423</v>
      </c>
      <c r="K491">
        <v>0</v>
      </c>
      <c r="L491">
        <v>12.6</v>
      </c>
      <c r="M491" t="s">
        <v>14</v>
      </c>
      <c r="N491">
        <v>37</v>
      </c>
      <c r="O491">
        <v>-6.57</v>
      </c>
      <c r="P491">
        <v>147.881</v>
      </c>
      <c r="Q491" t="s">
        <v>674</v>
      </c>
      <c r="S491" t="s">
        <v>89</v>
      </c>
      <c r="U491" t="str">
        <f t="shared" si="21"/>
        <v>N km direction of city</v>
      </c>
      <c r="V491" t="str">
        <f t="shared" si="22"/>
        <v>mww</v>
      </c>
      <c r="X491">
        <f t="shared" si="23"/>
        <v>2011</v>
      </c>
    </row>
    <row r="492" spans="1:24">
      <c r="A492" t="s">
        <v>860</v>
      </c>
      <c r="B492">
        <v>6.9</v>
      </c>
      <c r="C492" s="1">
        <v>40804.527777777781</v>
      </c>
      <c r="D492">
        <v>8</v>
      </c>
      <c r="E492">
        <v>8</v>
      </c>
      <c r="G492">
        <v>0</v>
      </c>
      <c r="H492">
        <v>1562</v>
      </c>
      <c r="I492" t="s">
        <v>46</v>
      </c>
      <c r="J492">
        <v>383</v>
      </c>
      <c r="K492">
        <v>0</v>
      </c>
      <c r="L492">
        <v>13</v>
      </c>
      <c r="M492" t="s">
        <v>14</v>
      </c>
      <c r="N492">
        <v>50</v>
      </c>
      <c r="O492">
        <v>27.73</v>
      </c>
      <c r="P492">
        <v>88.155000000000001</v>
      </c>
      <c r="Q492" t="s">
        <v>861</v>
      </c>
      <c r="R492" t="s">
        <v>85</v>
      </c>
      <c r="S492" t="s">
        <v>584</v>
      </c>
      <c r="U492" t="str">
        <f t="shared" si="21"/>
        <v>N km direction of city</v>
      </c>
      <c r="V492" t="str">
        <f t="shared" si="22"/>
        <v>mww</v>
      </c>
      <c r="X492">
        <f t="shared" si="23"/>
        <v>2011</v>
      </c>
    </row>
    <row r="493" spans="1:24">
      <c r="A493" t="s">
        <v>862</v>
      </c>
      <c r="B493">
        <v>6.7</v>
      </c>
      <c r="C493" s="1">
        <v>40802.80972222222</v>
      </c>
      <c r="D493">
        <v>5</v>
      </c>
      <c r="E493">
        <v>5</v>
      </c>
      <c r="G493">
        <v>0</v>
      </c>
      <c r="H493">
        <v>712</v>
      </c>
      <c r="I493" t="s">
        <v>46</v>
      </c>
      <c r="J493">
        <v>667</v>
      </c>
      <c r="K493">
        <v>0</v>
      </c>
      <c r="L493">
        <v>10.9</v>
      </c>
      <c r="M493" t="s">
        <v>13</v>
      </c>
      <c r="N493">
        <v>30</v>
      </c>
      <c r="O493">
        <v>40.273000000000003</v>
      </c>
      <c r="P493">
        <v>142.779</v>
      </c>
      <c r="Q493" t="s">
        <v>657</v>
      </c>
      <c r="U493" t="str">
        <f t="shared" si="21"/>
        <v>N km direction of city</v>
      </c>
      <c r="V493" t="str">
        <f t="shared" si="22"/>
        <v>mwc</v>
      </c>
      <c r="X493">
        <f t="shared" si="23"/>
        <v>2011</v>
      </c>
    </row>
    <row r="494" spans="1:24">
      <c r="A494" t="s">
        <v>863</v>
      </c>
      <c r="B494">
        <v>6.7</v>
      </c>
      <c r="C494" s="1">
        <v>40791.746527777781</v>
      </c>
      <c r="D494">
        <v>5</v>
      </c>
      <c r="E494">
        <v>6</v>
      </c>
      <c r="G494">
        <v>0</v>
      </c>
      <c r="H494">
        <v>915</v>
      </c>
      <c r="I494" t="s">
        <v>46</v>
      </c>
      <c r="J494">
        <v>447</v>
      </c>
      <c r="K494">
        <v>0</v>
      </c>
      <c r="L494">
        <v>15.3</v>
      </c>
      <c r="M494" t="s">
        <v>14</v>
      </c>
      <c r="N494">
        <v>91</v>
      </c>
      <c r="O494">
        <v>2.9649999999999999</v>
      </c>
      <c r="P494">
        <v>97.893000000000001</v>
      </c>
      <c r="Q494" t="s">
        <v>864</v>
      </c>
      <c r="S494" t="s">
        <v>77</v>
      </c>
      <c r="U494" t="str">
        <f t="shared" si="21"/>
        <v>N km direction of city</v>
      </c>
      <c r="V494" t="str">
        <f t="shared" si="22"/>
        <v>mww</v>
      </c>
      <c r="X494">
        <f t="shared" si="23"/>
        <v>2011</v>
      </c>
    </row>
    <row r="495" spans="1:24">
      <c r="A495" t="s">
        <v>865</v>
      </c>
      <c r="B495">
        <v>7</v>
      </c>
      <c r="C495" s="1">
        <v>40789.954861111109</v>
      </c>
      <c r="D495">
        <v>7</v>
      </c>
      <c r="E495">
        <v>5</v>
      </c>
      <c r="G495">
        <v>0</v>
      </c>
      <c r="H495">
        <v>761</v>
      </c>
      <c r="I495" t="s">
        <v>46</v>
      </c>
      <c r="J495">
        <v>406</v>
      </c>
      <c r="K495">
        <v>0</v>
      </c>
      <c r="L495">
        <v>15.3</v>
      </c>
      <c r="M495" t="s">
        <v>14</v>
      </c>
      <c r="N495">
        <v>185.1</v>
      </c>
      <c r="O495">
        <v>-20.670999999999999</v>
      </c>
      <c r="P495">
        <v>169.71600000000001</v>
      </c>
      <c r="Q495" t="s">
        <v>148</v>
      </c>
      <c r="U495" t="str">
        <f t="shared" si="21"/>
        <v>N km direction of city</v>
      </c>
      <c r="V495" t="str">
        <f t="shared" si="22"/>
        <v>mww</v>
      </c>
      <c r="X495">
        <f t="shared" si="23"/>
        <v>2011</v>
      </c>
    </row>
    <row r="496" spans="1:24">
      <c r="A496" t="s">
        <v>866</v>
      </c>
      <c r="B496">
        <v>7</v>
      </c>
      <c r="C496" s="1">
        <v>40779.740277777782</v>
      </c>
      <c r="D496">
        <v>6</v>
      </c>
      <c r="E496">
        <v>6</v>
      </c>
      <c r="G496">
        <v>0</v>
      </c>
      <c r="H496">
        <v>913</v>
      </c>
      <c r="I496" t="s">
        <v>46</v>
      </c>
      <c r="J496">
        <v>471</v>
      </c>
      <c r="K496">
        <v>0</v>
      </c>
      <c r="L496">
        <v>26.9</v>
      </c>
      <c r="M496" t="s">
        <v>14</v>
      </c>
      <c r="N496">
        <v>147</v>
      </c>
      <c r="O496">
        <v>-7.641</v>
      </c>
      <c r="P496">
        <v>-74.525000000000006</v>
      </c>
      <c r="Q496" t="s">
        <v>867</v>
      </c>
      <c r="R496" t="s">
        <v>53</v>
      </c>
      <c r="S496" t="s">
        <v>164</v>
      </c>
      <c r="U496" t="str">
        <f t="shared" si="21"/>
        <v>N km direction of city</v>
      </c>
      <c r="V496" t="str">
        <f t="shared" si="22"/>
        <v>mww</v>
      </c>
      <c r="X496">
        <f t="shared" si="23"/>
        <v>2011</v>
      </c>
    </row>
    <row r="497" spans="1:24">
      <c r="A497" t="s">
        <v>868</v>
      </c>
      <c r="B497">
        <v>7.1</v>
      </c>
      <c r="C497" s="1">
        <v>40775.763194444437</v>
      </c>
      <c r="D497">
        <v>5</v>
      </c>
      <c r="E497">
        <v>6</v>
      </c>
      <c r="G497">
        <v>0</v>
      </c>
      <c r="H497">
        <v>787</v>
      </c>
      <c r="I497" t="s">
        <v>46</v>
      </c>
      <c r="J497">
        <v>564</v>
      </c>
      <c r="K497">
        <v>0</v>
      </c>
      <c r="L497">
        <v>12.3</v>
      </c>
      <c r="M497" t="s">
        <v>14</v>
      </c>
      <c r="N497">
        <v>28</v>
      </c>
      <c r="O497">
        <v>-18.311</v>
      </c>
      <c r="P497">
        <v>168.21799999999999</v>
      </c>
      <c r="Q497" t="s">
        <v>661</v>
      </c>
      <c r="U497" t="str">
        <f t="shared" si="21"/>
        <v>N km direction of city</v>
      </c>
      <c r="V497" t="str">
        <f t="shared" si="22"/>
        <v>mww</v>
      </c>
      <c r="X497">
        <f t="shared" si="23"/>
        <v>2011</v>
      </c>
    </row>
    <row r="498" spans="1:24">
      <c r="A498" t="s">
        <v>869</v>
      </c>
      <c r="B498">
        <v>6.5</v>
      </c>
      <c r="C498" s="1">
        <v>40775.717361111107</v>
      </c>
      <c r="D498">
        <v>0</v>
      </c>
      <c r="E498">
        <v>5</v>
      </c>
      <c r="G498">
        <v>0</v>
      </c>
      <c r="H498">
        <v>650</v>
      </c>
      <c r="I498" t="s">
        <v>46</v>
      </c>
      <c r="J498">
        <v>322</v>
      </c>
      <c r="K498">
        <v>0</v>
      </c>
      <c r="L498">
        <v>15</v>
      </c>
      <c r="M498" t="s">
        <v>13</v>
      </c>
      <c r="N498">
        <v>35</v>
      </c>
      <c r="O498">
        <v>-18.308</v>
      </c>
      <c r="P498">
        <v>168.15600000000001</v>
      </c>
      <c r="Q498" t="s">
        <v>661</v>
      </c>
      <c r="U498" t="str">
        <f t="shared" si="21"/>
        <v>N km direction of city</v>
      </c>
      <c r="V498" t="str">
        <f t="shared" si="22"/>
        <v>mwc</v>
      </c>
      <c r="X498">
        <f t="shared" si="23"/>
        <v>2011</v>
      </c>
    </row>
    <row r="499" spans="1:24">
      <c r="A499" t="s">
        <v>870</v>
      </c>
      <c r="B499">
        <v>7.2</v>
      </c>
      <c r="C499" s="1">
        <v>40775.704861111109</v>
      </c>
      <c r="D499">
        <v>8</v>
      </c>
      <c r="E499">
        <v>6</v>
      </c>
      <c r="G499">
        <v>0</v>
      </c>
      <c r="H499">
        <v>813</v>
      </c>
      <c r="I499" t="s">
        <v>46</v>
      </c>
      <c r="J499">
        <v>280</v>
      </c>
      <c r="K499">
        <v>0</v>
      </c>
      <c r="L499">
        <v>18.399999999999999</v>
      </c>
      <c r="M499" t="s">
        <v>14</v>
      </c>
      <c r="N499">
        <v>32</v>
      </c>
      <c r="O499">
        <v>-18.364999999999998</v>
      </c>
      <c r="P499">
        <v>168.143</v>
      </c>
      <c r="Q499" t="s">
        <v>661</v>
      </c>
      <c r="U499" t="str">
        <f t="shared" si="21"/>
        <v>N km direction of city</v>
      </c>
      <c r="V499" t="str">
        <f t="shared" si="22"/>
        <v>mww</v>
      </c>
      <c r="X499">
        <f t="shared" si="23"/>
        <v>2011</v>
      </c>
    </row>
    <row r="500" spans="1:24">
      <c r="A500" t="s">
        <v>871</v>
      </c>
      <c r="B500">
        <v>6.6</v>
      </c>
      <c r="C500" s="1">
        <v>40755.984722222223</v>
      </c>
      <c r="D500">
        <v>3</v>
      </c>
      <c r="E500">
        <v>6</v>
      </c>
      <c r="G500">
        <v>0</v>
      </c>
      <c r="H500">
        <v>674</v>
      </c>
      <c r="I500" t="s">
        <v>46</v>
      </c>
      <c r="J500">
        <v>229</v>
      </c>
      <c r="K500">
        <v>0</v>
      </c>
      <c r="L500">
        <v>16.600000000000001</v>
      </c>
      <c r="M500" t="s">
        <v>14</v>
      </c>
      <c r="N500">
        <v>10</v>
      </c>
      <c r="O500">
        <v>-3.5179999999999998</v>
      </c>
      <c r="P500">
        <v>144.828</v>
      </c>
      <c r="Q500" t="s">
        <v>459</v>
      </c>
      <c r="S500" t="s">
        <v>89</v>
      </c>
      <c r="U500" t="str">
        <f t="shared" si="21"/>
        <v>N km direction of city</v>
      </c>
      <c r="V500" t="str">
        <f t="shared" si="22"/>
        <v>mww</v>
      </c>
      <c r="X500">
        <f t="shared" si="23"/>
        <v>2011</v>
      </c>
    </row>
    <row r="501" spans="1:24">
      <c r="A501" t="s">
        <v>872</v>
      </c>
      <c r="B501">
        <v>7.6</v>
      </c>
      <c r="C501" s="1">
        <v>40730.793749999997</v>
      </c>
      <c r="D501">
        <v>3</v>
      </c>
      <c r="E501">
        <v>7</v>
      </c>
      <c r="G501">
        <v>0</v>
      </c>
      <c r="H501">
        <v>893</v>
      </c>
      <c r="I501" t="s">
        <v>46</v>
      </c>
      <c r="J501">
        <v>567</v>
      </c>
      <c r="K501">
        <v>0</v>
      </c>
      <c r="L501">
        <v>33.5</v>
      </c>
      <c r="M501" t="s">
        <v>14</v>
      </c>
      <c r="N501">
        <v>17</v>
      </c>
      <c r="O501">
        <v>-29.539000000000001</v>
      </c>
      <c r="P501">
        <v>-176.34</v>
      </c>
      <c r="Q501" t="s">
        <v>98</v>
      </c>
      <c r="U501" t="str">
        <f t="shared" si="21"/>
        <v>Named-region</v>
      </c>
      <c r="V501" t="str">
        <f t="shared" si="22"/>
        <v>mww</v>
      </c>
      <c r="X501">
        <f t="shared" si="23"/>
        <v>2011</v>
      </c>
    </row>
    <row r="502" spans="1:24">
      <c r="A502" t="s">
        <v>873</v>
      </c>
      <c r="B502">
        <v>6.7</v>
      </c>
      <c r="C502" s="1">
        <v>40716.909722222219</v>
      </c>
      <c r="D502">
        <v>6</v>
      </c>
      <c r="E502">
        <v>6</v>
      </c>
      <c r="G502">
        <v>0</v>
      </c>
      <c r="H502">
        <v>749</v>
      </c>
      <c r="I502" t="s">
        <v>46</v>
      </c>
      <c r="J502">
        <v>592</v>
      </c>
      <c r="K502">
        <v>0</v>
      </c>
      <c r="L502">
        <v>24.9</v>
      </c>
      <c r="M502" t="s">
        <v>14</v>
      </c>
      <c r="N502">
        <v>33</v>
      </c>
      <c r="O502">
        <v>39.954999999999998</v>
      </c>
      <c r="P502">
        <v>142.20500000000001</v>
      </c>
      <c r="Q502" t="s">
        <v>657</v>
      </c>
      <c r="R502" t="s">
        <v>85</v>
      </c>
      <c r="S502" t="s">
        <v>243</v>
      </c>
      <c r="U502" t="str">
        <f t="shared" si="21"/>
        <v>N km direction of city</v>
      </c>
      <c r="V502" t="str">
        <f t="shared" si="22"/>
        <v>mww</v>
      </c>
      <c r="X502">
        <f t="shared" si="23"/>
        <v>2011</v>
      </c>
    </row>
    <row r="503" spans="1:24">
      <c r="A503" t="s">
        <v>874</v>
      </c>
      <c r="B503">
        <v>6.8</v>
      </c>
      <c r="C503" s="1">
        <v>40673.371527777781</v>
      </c>
      <c r="D503">
        <v>4</v>
      </c>
      <c r="E503">
        <v>5</v>
      </c>
      <c r="G503">
        <v>0</v>
      </c>
      <c r="H503">
        <v>734</v>
      </c>
      <c r="I503" t="s">
        <v>46</v>
      </c>
      <c r="J503">
        <v>519</v>
      </c>
      <c r="K503">
        <v>0</v>
      </c>
      <c r="L503">
        <v>12.5</v>
      </c>
      <c r="M503" t="s">
        <v>14</v>
      </c>
      <c r="N503">
        <v>11</v>
      </c>
      <c r="O503">
        <v>-20.244</v>
      </c>
      <c r="P503">
        <v>168.226</v>
      </c>
      <c r="Q503" t="s">
        <v>875</v>
      </c>
      <c r="U503" t="str">
        <f t="shared" si="21"/>
        <v>N km direction of city</v>
      </c>
      <c r="V503" t="str">
        <f t="shared" si="22"/>
        <v>mww</v>
      </c>
      <c r="X503">
        <f t="shared" si="23"/>
        <v>2011</v>
      </c>
    </row>
    <row r="504" spans="1:24">
      <c r="A504" t="s">
        <v>876</v>
      </c>
      <c r="B504">
        <v>6.8</v>
      </c>
      <c r="C504" s="1">
        <v>40656.177777777782</v>
      </c>
      <c r="D504">
        <v>5</v>
      </c>
      <c r="E504">
        <v>6</v>
      </c>
      <c r="G504">
        <v>0</v>
      </c>
      <c r="H504">
        <v>719</v>
      </c>
      <c r="I504" t="s">
        <v>46</v>
      </c>
      <c r="J504">
        <v>445</v>
      </c>
      <c r="K504">
        <v>0</v>
      </c>
      <c r="L504">
        <v>13</v>
      </c>
      <c r="M504" t="s">
        <v>14</v>
      </c>
      <c r="N504">
        <v>79</v>
      </c>
      <c r="O504">
        <v>-10.375</v>
      </c>
      <c r="P504">
        <v>161.19999999999999</v>
      </c>
      <c r="Q504" t="s">
        <v>406</v>
      </c>
      <c r="S504" t="s">
        <v>124</v>
      </c>
      <c r="U504" t="str">
        <f t="shared" si="21"/>
        <v>N km direction of city</v>
      </c>
      <c r="V504" t="str">
        <f t="shared" si="22"/>
        <v>mww</v>
      </c>
      <c r="X504">
        <f t="shared" si="23"/>
        <v>2011</v>
      </c>
    </row>
    <row r="505" spans="1:24">
      <c r="A505" t="s">
        <v>877</v>
      </c>
      <c r="B505">
        <v>6.6</v>
      </c>
      <c r="C505" s="1">
        <v>40644.344444444447</v>
      </c>
      <c r="D505">
        <v>7</v>
      </c>
      <c r="E505">
        <v>7</v>
      </c>
      <c r="G505">
        <v>0</v>
      </c>
      <c r="H505">
        <v>822</v>
      </c>
      <c r="I505" t="s">
        <v>46</v>
      </c>
      <c r="J505">
        <v>586</v>
      </c>
      <c r="K505">
        <v>0</v>
      </c>
      <c r="L505">
        <v>10.1</v>
      </c>
      <c r="M505" t="s">
        <v>14</v>
      </c>
      <c r="N505">
        <v>11</v>
      </c>
      <c r="O505">
        <v>37.000999999999998</v>
      </c>
      <c r="P505">
        <v>140.40100000000001</v>
      </c>
      <c r="Q505" t="s">
        <v>878</v>
      </c>
      <c r="R505" t="s">
        <v>85</v>
      </c>
      <c r="S505" t="s">
        <v>243</v>
      </c>
      <c r="U505" t="str">
        <f t="shared" si="21"/>
        <v>N km direction of city</v>
      </c>
      <c r="V505" t="str">
        <f t="shared" si="22"/>
        <v>mww</v>
      </c>
      <c r="X505">
        <f t="shared" si="23"/>
        <v>2011</v>
      </c>
    </row>
    <row r="506" spans="1:24">
      <c r="A506" t="s">
        <v>879</v>
      </c>
      <c r="B506">
        <v>7.1</v>
      </c>
      <c r="C506" s="1">
        <v>40640.605555555558</v>
      </c>
      <c r="D506">
        <v>8</v>
      </c>
      <c r="E506">
        <v>8</v>
      </c>
      <c r="G506">
        <v>0</v>
      </c>
      <c r="H506">
        <v>1114</v>
      </c>
      <c r="I506" t="s">
        <v>46</v>
      </c>
      <c r="J506">
        <v>446</v>
      </c>
      <c r="K506">
        <v>0</v>
      </c>
      <c r="L506">
        <v>17.7</v>
      </c>
      <c r="M506" t="s">
        <v>14</v>
      </c>
      <c r="N506">
        <v>42</v>
      </c>
      <c r="O506">
        <v>38.276000000000003</v>
      </c>
      <c r="P506">
        <v>141.58799999999999</v>
      </c>
      <c r="Q506" t="s">
        <v>249</v>
      </c>
      <c r="R506" t="s">
        <v>85</v>
      </c>
      <c r="S506" t="s">
        <v>243</v>
      </c>
      <c r="U506" t="str">
        <f t="shared" si="21"/>
        <v>N km direction of city</v>
      </c>
      <c r="V506" t="str">
        <f t="shared" si="22"/>
        <v>mww</v>
      </c>
      <c r="X506">
        <f t="shared" si="23"/>
        <v>2011</v>
      </c>
    </row>
    <row r="507" spans="1:24">
      <c r="A507" t="s">
        <v>880</v>
      </c>
      <c r="B507">
        <v>6.6</v>
      </c>
      <c r="C507" s="1">
        <v>40640.549305555563</v>
      </c>
      <c r="D507">
        <v>7</v>
      </c>
      <c r="E507">
        <v>6</v>
      </c>
      <c r="G507">
        <v>0</v>
      </c>
      <c r="H507">
        <v>897</v>
      </c>
      <c r="I507" t="s">
        <v>46</v>
      </c>
      <c r="J507">
        <v>518</v>
      </c>
      <c r="K507">
        <v>0</v>
      </c>
      <c r="L507">
        <v>37.200000000000003</v>
      </c>
      <c r="M507" t="s">
        <v>14</v>
      </c>
      <c r="N507">
        <v>166.2</v>
      </c>
      <c r="O507">
        <v>17.207999999999998</v>
      </c>
      <c r="P507">
        <v>-94.337999999999994</v>
      </c>
      <c r="Q507" t="s">
        <v>881</v>
      </c>
      <c r="S507" t="s">
        <v>140</v>
      </c>
      <c r="U507" t="str">
        <f t="shared" si="21"/>
        <v>N km direction of city</v>
      </c>
      <c r="V507" t="str">
        <f t="shared" si="22"/>
        <v>mww</v>
      </c>
      <c r="X507">
        <f t="shared" si="23"/>
        <v>2011</v>
      </c>
    </row>
    <row r="508" spans="1:24">
      <c r="A508" t="s">
        <v>882</v>
      </c>
      <c r="B508">
        <v>6.9</v>
      </c>
      <c r="C508" s="1">
        <v>40626.579861111109</v>
      </c>
      <c r="D508">
        <v>7</v>
      </c>
      <c r="E508">
        <v>9</v>
      </c>
      <c r="G508">
        <v>0</v>
      </c>
      <c r="H508">
        <v>1154</v>
      </c>
      <c r="I508" t="s">
        <v>46</v>
      </c>
      <c r="J508">
        <v>335</v>
      </c>
      <c r="K508">
        <v>0</v>
      </c>
      <c r="L508">
        <v>18.2</v>
      </c>
      <c r="M508" t="s">
        <v>14</v>
      </c>
      <c r="N508">
        <v>8</v>
      </c>
      <c r="O508">
        <v>20.687000000000001</v>
      </c>
      <c r="P508">
        <v>99.822000000000003</v>
      </c>
      <c r="Q508" t="s">
        <v>883</v>
      </c>
      <c r="R508" t="s">
        <v>85</v>
      </c>
      <c r="S508" t="s">
        <v>547</v>
      </c>
      <c r="U508" t="str">
        <f t="shared" si="21"/>
        <v>N km direction of city</v>
      </c>
      <c r="V508" t="str">
        <f t="shared" si="22"/>
        <v>mww</v>
      </c>
      <c r="X508">
        <f t="shared" si="23"/>
        <v>2011</v>
      </c>
    </row>
    <row r="509" spans="1:24">
      <c r="A509" t="s">
        <v>884</v>
      </c>
      <c r="B509">
        <v>6.6</v>
      </c>
      <c r="C509" s="1">
        <v>40613.48333333333</v>
      </c>
      <c r="D509">
        <v>6</v>
      </c>
      <c r="E509">
        <v>5</v>
      </c>
      <c r="G509">
        <v>0</v>
      </c>
      <c r="H509">
        <v>673</v>
      </c>
      <c r="I509" t="s">
        <v>46</v>
      </c>
      <c r="J509">
        <v>668</v>
      </c>
      <c r="K509">
        <v>0</v>
      </c>
      <c r="L509">
        <v>9.5</v>
      </c>
      <c r="M509" t="s">
        <v>10</v>
      </c>
      <c r="N509">
        <v>25.7</v>
      </c>
      <c r="O509">
        <v>39.241</v>
      </c>
      <c r="P509">
        <v>142.46299999999999</v>
      </c>
      <c r="Q509" t="s">
        <v>885</v>
      </c>
      <c r="U509" t="str">
        <f t="shared" si="21"/>
        <v>N km direction of city</v>
      </c>
      <c r="V509" t="str">
        <f t="shared" si="22"/>
        <v>ms</v>
      </c>
      <c r="X509">
        <f t="shared" si="23"/>
        <v>2011</v>
      </c>
    </row>
    <row r="510" spans="1:24">
      <c r="A510" t="s">
        <v>886</v>
      </c>
      <c r="B510">
        <v>6.5</v>
      </c>
      <c r="C510" s="1">
        <v>40613.34652777778</v>
      </c>
      <c r="D510">
        <v>0</v>
      </c>
      <c r="E510">
        <v>4</v>
      </c>
      <c r="G510">
        <v>0</v>
      </c>
      <c r="H510">
        <v>650</v>
      </c>
      <c r="I510" t="s">
        <v>46</v>
      </c>
      <c r="J510">
        <v>369</v>
      </c>
      <c r="K510">
        <v>0</v>
      </c>
      <c r="L510">
        <v>18.7</v>
      </c>
      <c r="M510" t="s">
        <v>6</v>
      </c>
      <c r="N510">
        <v>6.8</v>
      </c>
      <c r="O510">
        <v>36.165999999999997</v>
      </c>
      <c r="P510">
        <v>141.56200000000001</v>
      </c>
      <c r="Q510" t="s">
        <v>887</v>
      </c>
      <c r="U510" t="str">
        <f t="shared" si="21"/>
        <v>N km direction of city</v>
      </c>
      <c r="V510" t="str">
        <f t="shared" si="22"/>
        <v>mb</v>
      </c>
      <c r="X510">
        <f t="shared" si="23"/>
        <v>2011</v>
      </c>
    </row>
    <row r="511" spans="1:24">
      <c r="A511" t="s">
        <v>888</v>
      </c>
      <c r="B511">
        <v>7.7</v>
      </c>
      <c r="C511" s="1">
        <v>40613.267361111109</v>
      </c>
      <c r="D511">
        <v>7</v>
      </c>
      <c r="E511">
        <v>4</v>
      </c>
      <c r="G511">
        <v>0</v>
      </c>
      <c r="H511">
        <v>931</v>
      </c>
      <c r="I511" t="s">
        <v>46</v>
      </c>
      <c r="J511">
        <v>507</v>
      </c>
      <c r="K511">
        <v>0</v>
      </c>
      <c r="L511">
        <v>10.8</v>
      </c>
      <c r="M511" t="s">
        <v>13</v>
      </c>
      <c r="N511">
        <v>18.600000000000001</v>
      </c>
      <c r="O511">
        <v>38.058</v>
      </c>
      <c r="P511">
        <v>144.59</v>
      </c>
      <c r="Q511" t="s">
        <v>889</v>
      </c>
      <c r="U511" t="str">
        <f t="shared" si="21"/>
        <v>N km direction of city</v>
      </c>
      <c r="V511" t="str">
        <f t="shared" si="22"/>
        <v>mwc</v>
      </c>
      <c r="X511">
        <f t="shared" si="23"/>
        <v>2011</v>
      </c>
    </row>
    <row r="512" spans="1:24">
      <c r="A512" t="s">
        <v>890</v>
      </c>
      <c r="B512">
        <v>7.9</v>
      </c>
      <c r="C512" s="1">
        <v>40613.260416666657</v>
      </c>
      <c r="D512">
        <v>8</v>
      </c>
      <c r="E512">
        <v>7</v>
      </c>
      <c r="G512">
        <v>0</v>
      </c>
      <c r="H512">
        <v>1140</v>
      </c>
      <c r="I512" t="s">
        <v>46</v>
      </c>
      <c r="J512">
        <v>163</v>
      </c>
      <c r="K512">
        <v>0</v>
      </c>
      <c r="L512">
        <v>48.4</v>
      </c>
      <c r="M512" t="s">
        <v>13</v>
      </c>
      <c r="N512">
        <v>42.6</v>
      </c>
      <c r="O512">
        <v>36.280999999999999</v>
      </c>
      <c r="P512">
        <v>141.11099999999999</v>
      </c>
      <c r="Q512" t="s">
        <v>891</v>
      </c>
      <c r="U512" t="str">
        <f t="shared" si="21"/>
        <v>N km direction of city</v>
      </c>
      <c r="V512" t="str">
        <f t="shared" si="22"/>
        <v>mwc</v>
      </c>
      <c r="X512">
        <f t="shared" si="23"/>
        <v>2011</v>
      </c>
    </row>
    <row r="513" spans="1:24">
      <c r="A513" t="s">
        <v>892</v>
      </c>
      <c r="B513">
        <v>9.1</v>
      </c>
      <c r="C513" s="1">
        <v>40613.240277777782</v>
      </c>
      <c r="D513">
        <v>9</v>
      </c>
      <c r="E513">
        <v>8</v>
      </c>
      <c r="G513">
        <v>0</v>
      </c>
      <c r="H513">
        <v>2184</v>
      </c>
      <c r="I513" t="s">
        <v>839</v>
      </c>
      <c r="J513">
        <v>541</v>
      </c>
      <c r="K513">
        <v>0</v>
      </c>
      <c r="L513">
        <v>9.5</v>
      </c>
      <c r="M513" t="s">
        <v>14</v>
      </c>
      <c r="N513">
        <v>29</v>
      </c>
      <c r="O513">
        <v>38.296999999999997</v>
      </c>
      <c r="P513">
        <v>142.37299999999999</v>
      </c>
      <c r="Q513" t="s">
        <v>893</v>
      </c>
      <c r="U513" t="str">
        <f t="shared" si="21"/>
        <v>Named-region</v>
      </c>
      <c r="V513" t="str">
        <f t="shared" si="22"/>
        <v>mww</v>
      </c>
      <c r="X513">
        <f t="shared" si="23"/>
        <v>2011</v>
      </c>
    </row>
    <row r="514" spans="1:24">
      <c r="A514" t="s">
        <v>894</v>
      </c>
      <c r="B514">
        <v>7.3</v>
      </c>
      <c r="C514" s="1">
        <v>40611.114583333343</v>
      </c>
      <c r="D514">
        <v>5</v>
      </c>
      <c r="E514">
        <v>5</v>
      </c>
      <c r="G514">
        <v>0</v>
      </c>
      <c r="H514">
        <v>972</v>
      </c>
      <c r="I514" t="s">
        <v>46</v>
      </c>
      <c r="J514">
        <v>550</v>
      </c>
      <c r="K514">
        <v>0</v>
      </c>
      <c r="L514">
        <v>17.399999999999999</v>
      </c>
      <c r="M514" t="s">
        <v>14</v>
      </c>
      <c r="N514">
        <v>32</v>
      </c>
      <c r="O514">
        <v>38.435000000000002</v>
      </c>
      <c r="P514">
        <v>142.84200000000001</v>
      </c>
      <c r="Q514" t="s">
        <v>640</v>
      </c>
      <c r="U514" t="str">
        <f t="shared" ref="U514:U577" si="24">IF(ISNUMBER(SEARCH("km",A514)),"N km direction of city","Named-region")</f>
        <v>N km direction of city</v>
      </c>
      <c r="V514" t="str">
        <f t="shared" ref="V514:V577" si="25">LOWER(M514)</f>
        <v>mww</v>
      </c>
      <c r="X514">
        <f t="shared" ref="X514:X577" si="26">YEAR(C514)</f>
        <v>2011</v>
      </c>
    </row>
    <row r="515" spans="1:24">
      <c r="A515" t="s">
        <v>895</v>
      </c>
      <c r="B515">
        <v>6.7</v>
      </c>
      <c r="C515" s="1">
        <v>40588.152777777781</v>
      </c>
      <c r="D515">
        <v>5</v>
      </c>
      <c r="E515">
        <v>6</v>
      </c>
      <c r="G515">
        <v>0</v>
      </c>
      <c r="H515">
        <v>731</v>
      </c>
      <c r="I515" t="s">
        <v>46</v>
      </c>
      <c r="J515">
        <v>358</v>
      </c>
      <c r="K515">
        <v>0</v>
      </c>
      <c r="L515">
        <v>33.9</v>
      </c>
      <c r="M515" t="s">
        <v>14</v>
      </c>
      <c r="N515">
        <v>21</v>
      </c>
      <c r="O515">
        <v>-35.380000000000003</v>
      </c>
      <c r="P515">
        <v>-72.834000000000003</v>
      </c>
      <c r="Q515" t="s">
        <v>328</v>
      </c>
      <c r="U515" t="str">
        <f t="shared" si="24"/>
        <v>N km direction of city</v>
      </c>
      <c r="V515" t="str">
        <f t="shared" si="25"/>
        <v>mww</v>
      </c>
      <c r="X515">
        <f t="shared" si="26"/>
        <v>2011</v>
      </c>
    </row>
    <row r="516" spans="1:24">
      <c r="A516" t="s">
        <v>896</v>
      </c>
      <c r="B516">
        <v>6.9</v>
      </c>
      <c r="C516" s="1">
        <v>40585.836805555547</v>
      </c>
      <c r="D516">
        <v>7</v>
      </c>
      <c r="E516">
        <v>7</v>
      </c>
      <c r="G516">
        <v>0</v>
      </c>
      <c r="H516">
        <v>988</v>
      </c>
      <c r="I516" t="s">
        <v>46</v>
      </c>
      <c r="J516">
        <v>382</v>
      </c>
      <c r="K516">
        <v>0</v>
      </c>
      <c r="L516">
        <v>34.700000000000003</v>
      </c>
      <c r="M516" t="s">
        <v>14</v>
      </c>
      <c r="N516">
        <v>26</v>
      </c>
      <c r="O516">
        <v>-36.421999999999997</v>
      </c>
      <c r="P516">
        <v>-72.959999999999994</v>
      </c>
      <c r="Q516" t="s">
        <v>897</v>
      </c>
      <c r="R516" t="s">
        <v>53</v>
      </c>
      <c r="S516" t="s">
        <v>275</v>
      </c>
      <c r="U516" t="str">
        <f t="shared" si="24"/>
        <v>N km direction of city</v>
      </c>
      <c r="V516" t="str">
        <f t="shared" si="25"/>
        <v>mww</v>
      </c>
      <c r="X516">
        <f t="shared" si="26"/>
        <v>2011</v>
      </c>
    </row>
    <row r="517" spans="1:24">
      <c r="A517" t="s">
        <v>898</v>
      </c>
      <c r="B517">
        <v>7.2</v>
      </c>
      <c r="C517" s="1">
        <v>40561.849305555559</v>
      </c>
      <c r="D517">
        <v>7</v>
      </c>
      <c r="E517">
        <v>7</v>
      </c>
      <c r="G517">
        <v>0</v>
      </c>
      <c r="H517">
        <v>1449</v>
      </c>
      <c r="I517" t="s">
        <v>46</v>
      </c>
      <c r="J517">
        <v>372</v>
      </c>
      <c r="K517">
        <v>0</v>
      </c>
      <c r="L517">
        <v>25.3</v>
      </c>
      <c r="M517" t="s">
        <v>14</v>
      </c>
      <c r="N517">
        <v>68</v>
      </c>
      <c r="O517">
        <v>28.777000000000001</v>
      </c>
      <c r="P517">
        <v>63.951000000000001</v>
      </c>
      <c r="Q517" t="s">
        <v>899</v>
      </c>
      <c r="R517" t="s">
        <v>85</v>
      </c>
      <c r="S517" t="s">
        <v>745</v>
      </c>
      <c r="U517" t="str">
        <f t="shared" si="24"/>
        <v>N km direction of city</v>
      </c>
      <c r="V517" t="str">
        <f t="shared" si="25"/>
        <v>mww</v>
      </c>
      <c r="X517">
        <f t="shared" si="26"/>
        <v>2011</v>
      </c>
    </row>
    <row r="518" spans="1:24">
      <c r="A518" t="s">
        <v>900</v>
      </c>
      <c r="B518">
        <v>7</v>
      </c>
      <c r="C518" s="1">
        <v>40556.677777777782</v>
      </c>
      <c r="D518">
        <v>2</v>
      </c>
      <c r="E518">
        <v>5</v>
      </c>
      <c r="G518">
        <v>0</v>
      </c>
      <c r="H518">
        <v>755</v>
      </c>
      <c r="I518" t="s">
        <v>46</v>
      </c>
      <c r="J518">
        <v>578</v>
      </c>
      <c r="K518">
        <v>0</v>
      </c>
      <c r="L518">
        <v>13.3</v>
      </c>
      <c r="M518" t="s">
        <v>14</v>
      </c>
      <c r="N518">
        <v>9</v>
      </c>
      <c r="O518">
        <v>-20.628</v>
      </c>
      <c r="P518">
        <v>168.471</v>
      </c>
      <c r="Q518" t="s">
        <v>171</v>
      </c>
      <c r="U518" t="str">
        <f t="shared" si="24"/>
        <v>N km direction of city</v>
      </c>
      <c r="V518" t="str">
        <f t="shared" si="25"/>
        <v>mww</v>
      </c>
      <c r="X518">
        <f t="shared" si="26"/>
        <v>2011</v>
      </c>
    </row>
    <row r="519" spans="1:24">
      <c r="A519" t="s">
        <v>901</v>
      </c>
      <c r="B519">
        <v>7.2</v>
      </c>
      <c r="C519" s="1">
        <v>40545.847222222219</v>
      </c>
      <c r="D519">
        <v>8</v>
      </c>
      <c r="E519">
        <v>7</v>
      </c>
      <c r="G519">
        <v>0</v>
      </c>
      <c r="H519">
        <v>1054</v>
      </c>
      <c r="I519" t="s">
        <v>46</v>
      </c>
      <c r="J519">
        <v>397</v>
      </c>
      <c r="K519">
        <v>0</v>
      </c>
      <c r="L519">
        <v>30.1</v>
      </c>
      <c r="M519" t="s">
        <v>14</v>
      </c>
      <c r="N519">
        <v>24</v>
      </c>
      <c r="O519">
        <v>-38.354999999999997</v>
      </c>
      <c r="P519">
        <v>-73.325999999999993</v>
      </c>
      <c r="Q519" t="s">
        <v>902</v>
      </c>
      <c r="R519" t="s">
        <v>53</v>
      </c>
      <c r="S519" t="s">
        <v>275</v>
      </c>
      <c r="U519" t="str">
        <f t="shared" si="24"/>
        <v>N km direction of city</v>
      </c>
      <c r="V519" t="str">
        <f t="shared" si="25"/>
        <v>mww</v>
      </c>
      <c r="X519">
        <f t="shared" si="26"/>
        <v>2011</v>
      </c>
    </row>
    <row r="520" spans="1:24">
      <c r="A520" t="s">
        <v>903</v>
      </c>
      <c r="B520">
        <v>7.3</v>
      </c>
      <c r="C520" s="1">
        <v>40537.552777777782</v>
      </c>
      <c r="D520">
        <v>0</v>
      </c>
      <c r="E520">
        <v>5</v>
      </c>
      <c r="G520">
        <v>0</v>
      </c>
      <c r="H520">
        <v>820</v>
      </c>
      <c r="I520" t="s">
        <v>46</v>
      </c>
      <c r="J520">
        <v>409</v>
      </c>
      <c r="K520">
        <v>0</v>
      </c>
      <c r="L520">
        <v>12</v>
      </c>
      <c r="M520" t="s">
        <v>13</v>
      </c>
      <c r="N520">
        <v>16</v>
      </c>
      <c r="O520">
        <v>-19.702000000000002</v>
      </c>
      <c r="P520">
        <v>167.947</v>
      </c>
      <c r="Q520" t="s">
        <v>148</v>
      </c>
      <c r="U520" t="str">
        <f t="shared" si="24"/>
        <v>N km direction of city</v>
      </c>
      <c r="V520" t="str">
        <f t="shared" si="25"/>
        <v>mwc</v>
      </c>
      <c r="X520">
        <f t="shared" si="26"/>
        <v>2010</v>
      </c>
    </row>
    <row r="521" spans="1:24">
      <c r="A521" t="s">
        <v>904</v>
      </c>
      <c r="B521">
        <v>6.7</v>
      </c>
      <c r="C521" s="1">
        <v>40532.77847222222</v>
      </c>
      <c r="D521">
        <v>3</v>
      </c>
      <c r="E521">
        <v>7</v>
      </c>
      <c r="G521">
        <v>0</v>
      </c>
      <c r="H521">
        <v>708</v>
      </c>
      <c r="I521" t="s">
        <v>46</v>
      </c>
      <c r="J521">
        <v>279</v>
      </c>
      <c r="K521">
        <v>0</v>
      </c>
      <c r="L521">
        <v>24.3</v>
      </c>
      <c r="M521" t="s">
        <v>13</v>
      </c>
      <c r="N521">
        <v>12</v>
      </c>
      <c r="O521">
        <v>28.411999999999999</v>
      </c>
      <c r="P521">
        <v>59.18</v>
      </c>
      <c r="Q521" t="s">
        <v>905</v>
      </c>
      <c r="R521" t="s">
        <v>85</v>
      </c>
      <c r="S521" t="s">
        <v>457</v>
      </c>
      <c r="U521" t="str">
        <f t="shared" si="24"/>
        <v>N km direction of city</v>
      </c>
      <c r="V521" t="str">
        <f t="shared" si="25"/>
        <v>mwc</v>
      </c>
      <c r="X521">
        <f t="shared" si="26"/>
        <v>2010</v>
      </c>
    </row>
    <row r="522" spans="1:24">
      <c r="A522" t="s">
        <v>906</v>
      </c>
      <c r="B522">
        <v>6.6</v>
      </c>
      <c r="C522" s="1">
        <v>40514.133333333331</v>
      </c>
      <c r="D522">
        <v>0</v>
      </c>
      <c r="E522">
        <v>6</v>
      </c>
      <c r="G522">
        <v>0</v>
      </c>
      <c r="H522">
        <v>670</v>
      </c>
      <c r="I522" t="s">
        <v>46</v>
      </c>
      <c r="J522">
        <v>306</v>
      </c>
      <c r="K522">
        <v>0</v>
      </c>
      <c r="L522">
        <v>18.5</v>
      </c>
      <c r="M522" t="s">
        <v>12</v>
      </c>
      <c r="N522">
        <v>33</v>
      </c>
      <c r="O522">
        <v>-6.0010000000000003</v>
      </c>
      <c r="P522">
        <v>149.977</v>
      </c>
      <c r="Q522" t="s">
        <v>539</v>
      </c>
      <c r="S522" t="s">
        <v>89</v>
      </c>
      <c r="U522" t="str">
        <f t="shared" si="24"/>
        <v>N km direction of city</v>
      </c>
      <c r="V522" t="str">
        <f t="shared" si="25"/>
        <v>mwb</v>
      </c>
      <c r="X522">
        <f t="shared" si="26"/>
        <v>2010</v>
      </c>
    </row>
    <row r="523" spans="1:24">
      <c r="A523" t="s">
        <v>907</v>
      </c>
      <c r="B523">
        <v>7.8</v>
      </c>
      <c r="C523" s="1">
        <v>40476.612500000003</v>
      </c>
      <c r="D523">
        <v>4</v>
      </c>
      <c r="E523">
        <v>7</v>
      </c>
      <c r="G523">
        <v>0</v>
      </c>
      <c r="H523">
        <v>946</v>
      </c>
      <c r="I523" t="s">
        <v>46</v>
      </c>
      <c r="J523">
        <v>379</v>
      </c>
      <c r="K523">
        <v>0</v>
      </c>
      <c r="L523">
        <v>23</v>
      </c>
      <c r="M523" t="s">
        <v>13</v>
      </c>
      <c r="N523">
        <v>20.100000000000001</v>
      </c>
      <c r="O523">
        <v>-3.4870000000000001</v>
      </c>
      <c r="P523">
        <v>100.08199999999999</v>
      </c>
      <c r="Q523" t="s">
        <v>552</v>
      </c>
      <c r="U523" t="str">
        <f t="shared" si="24"/>
        <v>N km direction of city</v>
      </c>
      <c r="V523" t="str">
        <f t="shared" si="25"/>
        <v>mwc</v>
      </c>
      <c r="X523">
        <f t="shared" si="26"/>
        <v>2010</v>
      </c>
    </row>
    <row r="524" spans="1:24">
      <c r="A524" t="s">
        <v>908</v>
      </c>
      <c r="B524">
        <v>6.7</v>
      </c>
      <c r="C524" s="1">
        <v>40472.745138888888</v>
      </c>
      <c r="D524">
        <v>5</v>
      </c>
      <c r="E524">
        <v>5</v>
      </c>
      <c r="G524">
        <v>0</v>
      </c>
      <c r="H524">
        <v>776</v>
      </c>
      <c r="I524" t="s">
        <v>46</v>
      </c>
      <c r="J524">
        <v>352</v>
      </c>
      <c r="K524">
        <v>0</v>
      </c>
      <c r="L524">
        <v>50.3</v>
      </c>
      <c r="M524" t="s">
        <v>13</v>
      </c>
      <c r="N524">
        <v>13</v>
      </c>
      <c r="O524">
        <v>24.696000000000002</v>
      </c>
      <c r="P524">
        <v>-109.15600000000001</v>
      </c>
      <c r="Q524" t="s">
        <v>909</v>
      </c>
      <c r="U524" t="str">
        <f t="shared" si="24"/>
        <v>N km direction of city</v>
      </c>
      <c r="V524" t="str">
        <f t="shared" si="25"/>
        <v>mwc</v>
      </c>
      <c r="X524">
        <f t="shared" si="26"/>
        <v>2010</v>
      </c>
    </row>
    <row r="525" spans="1:24">
      <c r="A525" t="s">
        <v>910</v>
      </c>
      <c r="B525">
        <v>7</v>
      </c>
      <c r="C525" s="1">
        <v>40450.71597222222</v>
      </c>
      <c r="D525">
        <v>8</v>
      </c>
      <c r="E525">
        <v>5</v>
      </c>
      <c r="G525">
        <v>0</v>
      </c>
      <c r="H525">
        <v>772</v>
      </c>
      <c r="I525" t="s">
        <v>46</v>
      </c>
      <c r="J525">
        <v>271</v>
      </c>
      <c r="K525">
        <v>0</v>
      </c>
      <c r="L525">
        <v>15.1</v>
      </c>
      <c r="M525" t="s">
        <v>13</v>
      </c>
      <c r="N525">
        <v>26</v>
      </c>
      <c r="O525">
        <v>-4.9630000000000001</v>
      </c>
      <c r="P525">
        <v>133.76</v>
      </c>
      <c r="Q525" t="s">
        <v>911</v>
      </c>
      <c r="S525" t="s">
        <v>77</v>
      </c>
      <c r="U525" t="str">
        <f t="shared" si="24"/>
        <v>Named-region</v>
      </c>
      <c r="V525" t="str">
        <f t="shared" si="25"/>
        <v>mwc</v>
      </c>
      <c r="X525">
        <f t="shared" si="26"/>
        <v>2010</v>
      </c>
    </row>
    <row r="526" spans="1:24">
      <c r="A526" t="s">
        <v>912</v>
      </c>
      <c r="B526">
        <v>7</v>
      </c>
      <c r="C526" s="1">
        <v>40424.690972222219</v>
      </c>
      <c r="D526">
        <v>8</v>
      </c>
      <c r="E526">
        <v>8</v>
      </c>
      <c r="G526">
        <v>0</v>
      </c>
      <c r="H526">
        <v>1245</v>
      </c>
      <c r="I526" t="s">
        <v>46</v>
      </c>
      <c r="J526">
        <v>365</v>
      </c>
      <c r="K526">
        <v>0</v>
      </c>
      <c r="L526">
        <v>15.8</v>
      </c>
      <c r="M526" t="s">
        <v>13</v>
      </c>
      <c r="N526">
        <v>12</v>
      </c>
      <c r="O526">
        <v>-43.521999999999998</v>
      </c>
      <c r="P526">
        <v>171.83</v>
      </c>
      <c r="Q526" t="s">
        <v>913</v>
      </c>
      <c r="S526" t="s">
        <v>529</v>
      </c>
      <c r="U526" t="str">
        <f t="shared" si="24"/>
        <v>N km direction of city</v>
      </c>
      <c r="V526" t="str">
        <f t="shared" si="25"/>
        <v>mwc</v>
      </c>
      <c r="X526">
        <f t="shared" si="26"/>
        <v>2010</v>
      </c>
    </row>
    <row r="527" spans="1:24">
      <c r="A527" t="s">
        <v>914</v>
      </c>
      <c r="B527">
        <v>7.1</v>
      </c>
      <c r="C527" s="1">
        <v>40402.495833333327</v>
      </c>
      <c r="D527">
        <v>6</v>
      </c>
      <c r="E527">
        <v>5</v>
      </c>
      <c r="G527">
        <v>0</v>
      </c>
      <c r="H527">
        <v>945</v>
      </c>
      <c r="I527" t="s">
        <v>46</v>
      </c>
      <c r="J527">
        <v>672</v>
      </c>
      <c r="K527">
        <v>0</v>
      </c>
      <c r="L527">
        <v>12.4</v>
      </c>
      <c r="M527" t="s">
        <v>13</v>
      </c>
      <c r="N527">
        <v>206.7</v>
      </c>
      <c r="O527">
        <v>-1.266</v>
      </c>
      <c r="P527">
        <v>-77.305999999999997</v>
      </c>
      <c r="Q527" t="s">
        <v>96</v>
      </c>
      <c r="R527" t="s">
        <v>53</v>
      </c>
      <c r="S527" t="s">
        <v>96</v>
      </c>
      <c r="U527" t="str">
        <f t="shared" si="24"/>
        <v>Named-region</v>
      </c>
      <c r="V527" t="str">
        <f t="shared" si="25"/>
        <v>mwc</v>
      </c>
      <c r="X527">
        <f t="shared" si="26"/>
        <v>2010</v>
      </c>
    </row>
    <row r="528" spans="1:24">
      <c r="A528" t="s">
        <v>915</v>
      </c>
      <c r="B528">
        <v>7.3</v>
      </c>
      <c r="C528" s="1">
        <v>40400.224305555559</v>
      </c>
      <c r="D528">
        <v>7</v>
      </c>
      <c r="E528">
        <v>7</v>
      </c>
      <c r="G528">
        <v>0</v>
      </c>
      <c r="H528">
        <v>850</v>
      </c>
      <c r="I528" t="s">
        <v>46</v>
      </c>
      <c r="J528">
        <v>405</v>
      </c>
      <c r="K528">
        <v>0</v>
      </c>
      <c r="L528">
        <v>20.2</v>
      </c>
      <c r="M528" t="s">
        <v>13</v>
      </c>
      <c r="N528">
        <v>25</v>
      </c>
      <c r="O528">
        <v>-17.541</v>
      </c>
      <c r="P528">
        <v>168.06899999999999</v>
      </c>
      <c r="Q528" t="s">
        <v>661</v>
      </c>
      <c r="S528" t="s">
        <v>48</v>
      </c>
      <c r="U528" t="str">
        <f t="shared" si="24"/>
        <v>N km direction of city</v>
      </c>
      <c r="V528" t="str">
        <f t="shared" si="25"/>
        <v>mwc</v>
      </c>
      <c r="X528">
        <f t="shared" si="26"/>
        <v>2010</v>
      </c>
    </row>
    <row r="529" spans="1:24">
      <c r="A529" t="s">
        <v>916</v>
      </c>
      <c r="B529">
        <v>7</v>
      </c>
      <c r="C529" s="1">
        <v>40394.917361111111</v>
      </c>
      <c r="D529">
        <v>4</v>
      </c>
      <c r="E529">
        <v>6</v>
      </c>
      <c r="G529">
        <v>0</v>
      </c>
      <c r="H529">
        <v>757</v>
      </c>
      <c r="I529" t="s">
        <v>46</v>
      </c>
      <c r="J529">
        <v>396</v>
      </c>
      <c r="K529">
        <v>0</v>
      </c>
      <c r="L529">
        <v>12.7</v>
      </c>
      <c r="M529" t="s">
        <v>14</v>
      </c>
      <c r="N529">
        <v>44</v>
      </c>
      <c r="O529">
        <v>-5.7460000000000004</v>
      </c>
      <c r="P529">
        <v>150.76499999999999</v>
      </c>
      <c r="Q529" t="s">
        <v>103</v>
      </c>
      <c r="S529" t="s">
        <v>89</v>
      </c>
      <c r="U529" t="str">
        <f t="shared" si="24"/>
        <v>N km direction of city</v>
      </c>
      <c r="V529" t="str">
        <f t="shared" si="25"/>
        <v>mww</v>
      </c>
      <c r="X529">
        <f t="shared" si="26"/>
        <v>2010</v>
      </c>
    </row>
    <row r="530" spans="1:24">
      <c r="A530" t="s">
        <v>917</v>
      </c>
      <c r="B530">
        <v>6.5</v>
      </c>
      <c r="C530" s="1">
        <v>40394.302083333343</v>
      </c>
      <c r="D530">
        <v>5</v>
      </c>
      <c r="E530">
        <v>4</v>
      </c>
      <c r="G530">
        <v>0</v>
      </c>
      <c r="H530">
        <v>659</v>
      </c>
      <c r="I530" t="s">
        <v>46</v>
      </c>
      <c r="J530">
        <v>403</v>
      </c>
      <c r="K530">
        <v>0</v>
      </c>
      <c r="L530">
        <v>11.1</v>
      </c>
      <c r="M530" t="s">
        <v>13</v>
      </c>
      <c r="N530">
        <v>220</v>
      </c>
      <c r="O530">
        <v>-5.4859999999999998</v>
      </c>
      <c r="P530">
        <v>146.822</v>
      </c>
      <c r="Q530" t="s">
        <v>918</v>
      </c>
      <c r="S530" t="s">
        <v>89</v>
      </c>
      <c r="U530" t="str">
        <f t="shared" si="24"/>
        <v>N km direction of city</v>
      </c>
      <c r="V530" t="str">
        <f t="shared" si="25"/>
        <v>mwc</v>
      </c>
      <c r="X530">
        <f t="shared" si="26"/>
        <v>2010</v>
      </c>
    </row>
    <row r="531" spans="1:24">
      <c r="A531" t="s">
        <v>919</v>
      </c>
      <c r="B531">
        <v>7.6</v>
      </c>
      <c r="C531" s="1">
        <v>40382.95208333333</v>
      </c>
      <c r="D531">
        <v>5</v>
      </c>
      <c r="E531">
        <v>3</v>
      </c>
      <c r="G531">
        <v>0</v>
      </c>
      <c r="H531">
        <v>902</v>
      </c>
      <c r="I531" t="s">
        <v>46</v>
      </c>
      <c r="J531">
        <v>340</v>
      </c>
      <c r="K531">
        <v>0</v>
      </c>
      <c r="L531">
        <v>15.1</v>
      </c>
      <c r="M531" t="s">
        <v>13</v>
      </c>
      <c r="N531">
        <v>578</v>
      </c>
      <c r="O531">
        <v>6.4969999999999999</v>
      </c>
      <c r="P531">
        <v>123.48</v>
      </c>
      <c r="Q531" t="s">
        <v>920</v>
      </c>
      <c r="S531" t="s">
        <v>158</v>
      </c>
      <c r="U531" t="str">
        <f t="shared" si="24"/>
        <v>N km direction of city</v>
      </c>
      <c r="V531" t="str">
        <f t="shared" si="25"/>
        <v>mwc</v>
      </c>
      <c r="X531">
        <f t="shared" si="26"/>
        <v>2010</v>
      </c>
    </row>
    <row r="532" spans="1:24">
      <c r="A532" t="s">
        <v>921</v>
      </c>
      <c r="B532">
        <v>7.3</v>
      </c>
      <c r="C532" s="1">
        <v>40377.56527777778</v>
      </c>
      <c r="D532">
        <v>8</v>
      </c>
      <c r="E532">
        <v>7</v>
      </c>
      <c r="G532">
        <v>0</v>
      </c>
      <c r="H532">
        <v>831</v>
      </c>
      <c r="I532" t="s">
        <v>46</v>
      </c>
      <c r="J532">
        <v>397</v>
      </c>
      <c r="K532">
        <v>0</v>
      </c>
      <c r="L532">
        <v>18.2</v>
      </c>
      <c r="M532" t="s">
        <v>13</v>
      </c>
      <c r="N532">
        <v>35</v>
      </c>
      <c r="O532">
        <v>-5.931</v>
      </c>
      <c r="P532">
        <v>150.59</v>
      </c>
      <c r="Q532" t="s">
        <v>922</v>
      </c>
      <c r="S532" t="s">
        <v>89</v>
      </c>
      <c r="U532" t="str">
        <f t="shared" si="24"/>
        <v>Named-region</v>
      </c>
      <c r="V532" t="str">
        <f t="shared" si="25"/>
        <v>mwc</v>
      </c>
      <c r="X532">
        <f t="shared" si="26"/>
        <v>2010</v>
      </c>
    </row>
    <row r="533" spans="1:24">
      <c r="A533" t="s">
        <v>923</v>
      </c>
      <c r="B533">
        <v>6.9</v>
      </c>
      <c r="C533" s="1">
        <v>40377.544444444437</v>
      </c>
      <c r="D533">
        <v>4</v>
      </c>
      <c r="E533">
        <v>7</v>
      </c>
      <c r="G533">
        <v>0</v>
      </c>
      <c r="H533">
        <v>737</v>
      </c>
      <c r="I533" t="s">
        <v>46</v>
      </c>
      <c r="J533">
        <v>456</v>
      </c>
      <c r="K533">
        <v>0</v>
      </c>
      <c r="L533">
        <v>15.7</v>
      </c>
      <c r="M533" t="s">
        <v>13</v>
      </c>
      <c r="N533">
        <v>28</v>
      </c>
      <c r="O533">
        <v>-5.9660000000000002</v>
      </c>
      <c r="P533">
        <v>150.428</v>
      </c>
      <c r="Q533" t="s">
        <v>103</v>
      </c>
      <c r="S533" t="s">
        <v>89</v>
      </c>
      <c r="U533" t="str">
        <f t="shared" si="24"/>
        <v>N km direction of city</v>
      </c>
      <c r="V533" t="str">
        <f t="shared" si="25"/>
        <v>mwc</v>
      </c>
      <c r="X533">
        <f t="shared" si="26"/>
        <v>2010</v>
      </c>
    </row>
    <row r="534" spans="1:24">
      <c r="A534" t="s">
        <v>924</v>
      </c>
      <c r="B534">
        <v>6.6</v>
      </c>
      <c r="C534" s="1">
        <v>40373.355555555558</v>
      </c>
      <c r="D534">
        <v>6</v>
      </c>
      <c r="E534">
        <v>7</v>
      </c>
      <c r="G534">
        <v>0</v>
      </c>
      <c r="H534">
        <v>753</v>
      </c>
      <c r="I534" t="s">
        <v>46</v>
      </c>
      <c r="J534">
        <v>295</v>
      </c>
      <c r="K534">
        <v>0</v>
      </c>
      <c r="L534">
        <v>52.8</v>
      </c>
      <c r="M534" t="s">
        <v>13</v>
      </c>
      <c r="N534">
        <v>22</v>
      </c>
      <c r="O534">
        <v>-38.067</v>
      </c>
      <c r="P534">
        <v>-73.31</v>
      </c>
      <c r="Q534" t="s">
        <v>925</v>
      </c>
      <c r="R534" t="s">
        <v>53</v>
      </c>
      <c r="S534" t="s">
        <v>275</v>
      </c>
      <c r="U534" t="str">
        <f t="shared" si="24"/>
        <v>N km direction of city</v>
      </c>
      <c r="V534" t="str">
        <f t="shared" si="25"/>
        <v>mwc</v>
      </c>
      <c r="X534">
        <f t="shared" si="26"/>
        <v>2010</v>
      </c>
    </row>
    <row r="535" spans="1:24">
      <c r="A535" t="s">
        <v>926</v>
      </c>
      <c r="B535">
        <v>6.7</v>
      </c>
      <c r="C535" s="1">
        <v>40355.229166666657</v>
      </c>
      <c r="D535">
        <v>5</v>
      </c>
      <c r="E535">
        <v>6</v>
      </c>
      <c r="G535">
        <v>0</v>
      </c>
      <c r="H535">
        <v>696</v>
      </c>
      <c r="I535" t="s">
        <v>46</v>
      </c>
      <c r="J535">
        <v>392</v>
      </c>
      <c r="K535">
        <v>0</v>
      </c>
      <c r="L535">
        <v>18.7</v>
      </c>
      <c r="M535" t="s">
        <v>13</v>
      </c>
      <c r="N535">
        <v>35</v>
      </c>
      <c r="O535">
        <v>-10.627000000000001</v>
      </c>
      <c r="P535">
        <v>161.447</v>
      </c>
      <c r="Q535" t="s">
        <v>406</v>
      </c>
      <c r="S535" t="s">
        <v>124</v>
      </c>
      <c r="U535" t="str">
        <f t="shared" si="24"/>
        <v>N km direction of city</v>
      </c>
      <c r="V535" t="str">
        <f t="shared" si="25"/>
        <v>mwc</v>
      </c>
      <c r="X535">
        <f t="shared" si="26"/>
        <v>2010</v>
      </c>
    </row>
    <row r="536" spans="1:24">
      <c r="A536" t="s">
        <v>927</v>
      </c>
      <c r="B536">
        <v>6.6</v>
      </c>
      <c r="C536" s="1">
        <v>40345.165277777778</v>
      </c>
      <c r="D536">
        <v>0</v>
      </c>
      <c r="E536">
        <v>7</v>
      </c>
      <c r="G536">
        <v>0</v>
      </c>
      <c r="H536">
        <v>670</v>
      </c>
      <c r="I536" t="s">
        <v>46</v>
      </c>
      <c r="J536">
        <v>309</v>
      </c>
      <c r="K536">
        <v>0</v>
      </c>
      <c r="L536">
        <v>25</v>
      </c>
      <c r="M536" t="s">
        <v>13</v>
      </c>
      <c r="N536">
        <v>10.5</v>
      </c>
      <c r="O536">
        <v>-2.3290000000000002</v>
      </c>
      <c r="P536">
        <v>136.48400000000001</v>
      </c>
      <c r="Q536" t="s">
        <v>928</v>
      </c>
      <c r="S536" t="s">
        <v>77</v>
      </c>
      <c r="U536" t="str">
        <f t="shared" si="24"/>
        <v>N km direction of city</v>
      </c>
      <c r="V536" t="str">
        <f t="shared" si="25"/>
        <v>mwc</v>
      </c>
      <c r="X536">
        <f t="shared" si="26"/>
        <v>2010</v>
      </c>
    </row>
    <row r="537" spans="1:24">
      <c r="A537" t="s">
        <v>929</v>
      </c>
      <c r="B537">
        <v>7</v>
      </c>
      <c r="C537" s="1">
        <v>40345.136111111111</v>
      </c>
      <c r="D537">
        <v>3</v>
      </c>
      <c r="E537">
        <v>7</v>
      </c>
      <c r="G537">
        <v>0</v>
      </c>
      <c r="H537">
        <v>755</v>
      </c>
      <c r="I537" t="s">
        <v>46</v>
      </c>
      <c r="J537">
        <v>307</v>
      </c>
      <c r="K537">
        <v>0</v>
      </c>
      <c r="L537">
        <v>18.100000000000001</v>
      </c>
      <c r="M537" t="s">
        <v>13</v>
      </c>
      <c r="N537">
        <v>18</v>
      </c>
      <c r="O537">
        <v>-2.1739999999999999</v>
      </c>
      <c r="P537">
        <v>136.54300000000001</v>
      </c>
      <c r="Q537" t="s">
        <v>928</v>
      </c>
      <c r="S537" t="s">
        <v>77</v>
      </c>
      <c r="U537" t="str">
        <f t="shared" si="24"/>
        <v>N km direction of city</v>
      </c>
      <c r="V537" t="str">
        <f t="shared" si="25"/>
        <v>mwc</v>
      </c>
      <c r="X537">
        <f t="shared" si="26"/>
        <v>2010</v>
      </c>
    </row>
    <row r="538" spans="1:24">
      <c r="A538" t="s">
        <v>930</v>
      </c>
      <c r="B538">
        <v>7.5</v>
      </c>
      <c r="C538" s="1">
        <v>40341.80972222222</v>
      </c>
      <c r="D538">
        <v>6</v>
      </c>
      <c r="E538">
        <v>5</v>
      </c>
      <c r="G538">
        <v>0</v>
      </c>
      <c r="H538">
        <v>1144</v>
      </c>
      <c r="I538" t="s">
        <v>46</v>
      </c>
      <c r="J538">
        <v>514</v>
      </c>
      <c r="K538">
        <v>0</v>
      </c>
      <c r="L538">
        <v>18.600000000000001</v>
      </c>
      <c r="M538" t="s">
        <v>13</v>
      </c>
      <c r="N538">
        <v>35</v>
      </c>
      <c r="O538">
        <v>7.8810000000000002</v>
      </c>
      <c r="P538">
        <v>91.936000000000007</v>
      </c>
      <c r="Q538" t="s">
        <v>602</v>
      </c>
      <c r="U538" t="str">
        <f t="shared" si="24"/>
        <v>Named-region</v>
      </c>
      <c r="V538" t="str">
        <f t="shared" si="25"/>
        <v>mwc</v>
      </c>
      <c r="X538">
        <f t="shared" si="26"/>
        <v>2010</v>
      </c>
    </row>
    <row r="539" spans="1:24">
      <c r="A539" t="s">
        <v>931</v>
      </c>
      <c r="B539">
        <v>7.2</v>
      </c>
      <c r="C539" s="1">
        <v>40325.718055555553</v>
      </c>
      <c r="D539">
        <v>5</v>
      </c>
      <c r="E539">
        <v>6</v>
      </c>
      <c r="G539">
        <v>0</v>
      </c>
      <c r="H539">
        <v>804</v>
      </c>
      <c r="I539" t="s">
        <v>46</v>
      </c>
      <c r="J539">
        <v>327</v>
      </c>
      <c r="K539">
        <v>0</v>
      </c>
      <c r="L539">
        <v>11.7</v>
      </c>
      <c r="M539" t="s">
        <v>13</v>
      </c>
      <c r="N539">
        <v>31</v>
      </c>
      <c r="O539">
        <v>-13.698</v>
      </c>
      <c r="P539">
        <v>166.643</v>
      </c>
      <c r="Q539" t="s">
        <v>47</v>
      </c>
      <c r="S539" t="s">
        <v>48</v>
      </c>
      <c r="U539" t="str">
        <f t="shared" si="24"/>
        <v>N km direction of city</v>
      </c>
      <c r="V539" t="str">
        <f t="shared" si="25"/>
        <v>mwc</v>
      </c>
      <c r="X539">
        <f t="shared" si="26"/>
        <v>2010</v>
      </c>
    </row>
    <row r="540" spans="1:24">
      <c r="A540" t="s">
        <v>932</v>
      </c>
      <c r="B540">
        <v>7.2</v>
      </c>
      <c r="C540" s="1">
        <v>40307.249305555553</v>
      </c>
      <c r="D540">
        <v>5</v>
      </c>
      <c r="E540">
        <v>6</v>
      </c>
      <c r="G540">
        <v>0</v>
      </c>
      <c r="H540">
        <v>918</v>
      </c>
      <c r="I540" t="s">
        <v>46</v>
      </c>
      <c r="J540">
        <v>611</v>
      </c>
      <c r="K540">
        <v>0</v>
      </c>
      <c r="L540">
        <v>20.6</v>
      </c>
      <c r="M540" t="s">
        <v>13</v>
      </c>
      <c r="N540">
        <v>38</v>
      </c>
      <c r="O540">
        <v>3.7480000000000002</v>
      </c>
      <c r="P540">
        <v>96.018000000000001</v>
      </c>
      <c r="Q540" t="s">
        <v>933</v>
      </c>
      <c r="S540" t="s">
        <v>77</v>
      </c>
      <c r="U540" t="str">
        <f t="shared" si="24"/>
        <v>N km direction of city</v>
      </c>
      <c r="V540" t="str">
        <f t="shared" si="25"/>
        <v>mwc</v>
      </c>
      <c r="X540">
        <f t="shared" si="26"/>
        <v>2010</v>
      </c>
    </row>
    <row r="541" spans="1:24">
      <c r="A541" t="s">
        <v>934</v>
      </c>
      <c r="B541">
        <v>6.9</v>
      </c>
      <c r="C541" s="1">
        <v>40281.992361111108</v>
      </c>
      <c r="D541">
        <v>6</v>
      </c>
      <c r="E541">
        <v>9</v>
      </c>
      <c r="G541">
        <v>0</v>
      </c>
      <c r="H541">
        <v>773</v>
      </c>
      <c r="I541" t="s">
        <v>46</v>
      </c>
      <c r="J541">
        <v>410</v>
      </c>
      <c r="K541">
        <v>0</v>
      </c>
      <c r="L541">
        <v>14.9</v>
      </c>
      <c r="M541" t="s">
        <v>13</v>
      </c>
      <c r="N541">
        <v>17</v>
      </c>
      <c r="O541">
        <v>33.164999999999999</v>
      </c>
      <c r="P541">
        <v>96.548000000000002</v>
      </c>
      <c r="Q541" t="s">
        <v>935</v>
      </c>
      <c r="R541" t="s">
        <v>85</v>
      </c>
      <c r="S541" t="s">
        <v>153</v>
      </c>
      <c r="U541" t="str">
        <f t="shared" si="24"/>
        <v>N km direction of city</v>
      </c>
      <c r="V541" t="str">
        <f t="shared" si="25"/>
        <v>mwc</v>
      </c>
      <c r="X541">
        <f t="shared" si="26"/>
        <v>2010</v>
      </c>
    </row>
    <row r="542" spans="1:24">
      <c r="A542" t="s">
        <v>936</v>
      </c>
      <c r="B542">
        <v>6.9</v>
      </c>
      <c r="C542" s="1">
        <v>40279.402777777781</v>
      </c>
      <c r="D542">
        <v>4</v>
      </c>
      <c r="E542">
        <v>5</v>
      </c>
      <c r="G542">
        <v>0</v>
      </c>
      <c r="H542">
        <v>740</v>
      </c>
      <c r="I542" t="s">
        <v>46</v>
      </c>
      <c r="J542">
        <v>399</v>
      </c>
      <c r="K542">
        <v>0</v>
      </c>
      <c r="L542">
        <v>12.1</v>
      </c>
      <c r="M542" t="s">
        <v>13</v>
      </c>
      <c r="N542">
        <v>21</v>
      </c>
      <c r="O542">
        <v>-10.878</v>
      </c>
      <c r="P542">
        <v>161.11600000000001</v>
      </c>
      <c r="Q542" t="s">
        <v>406</v>
      </c>
      <c r="U542" t="str">
        <f t="shared" si="24"/>
        <v>N km direction of city</v>
      </c>
      <c r="V542" t="str">
        <f t="shared" si="25"/>
        <v>mwc</v>
      </c>
      <c r="X542">
        <f t="shared" si="26"/>
        <v>2010</v>
      </c>
    </row>
    <row r="543" spans="1:24">
      <c r="A543" t="s">
        <v>937</v>
      </c>
      <c r="B543">
        <v>7.8</v>
      </c>
      <c r="C543" s="1">
        <v>40274.927083333343</v>
      </c>
      <c r="D543">
        <v>0</v>
      </c>
      <c r="E543">
        <v>7</v>
      </c>
      <c r="G543">
        <v>0</v>
      </c>
      <c r="H543">
        <v>936</v>
      </c>
      <c r="I543" t="s">
        <v>46</v>
      </c>
      <c r="J543">
        <v>352</v>
      </c>
      <c r="K543">
        <v>0</v>
      </c>
      <c r="L543">
        <v>19.2</v>
      </c>
      <c r="M543" t="s">
        <v>13</v>
      </c>
      <c r="N543">
        <v>31</v>
      </c>
      <c r="O543">
        <v>2.383</v>
      </c>
      <c r="P543">
        <v>97.048000000000002</v>
      </c>
      <c r="Q543" t="s">
        <v>240</v>
      </c>
      <c r="S543" t="s">
        <v>77</v>
      </c>
      <c r="U543" t="str">
        <f t="shared" si="24"/>
        <v>N km direction of city</v>
      </c>
      <c r="V543" t="str">
        <f t="shared" si="25"/>
        <v>mwc</v>
      </c>
      <c r="X543">
        <f t="shared" si="26"/>
        <v>2010</v>
      </c>
    </row>
    <row r="544" spans="1:24">
      <c r="A544" t="s">
        <v>938</v>
      </c>
      <c r="B544">
        <v>7.2</v>
      </c>
      <c r="C544" s="1">
        <v>40272.944444444453</v>
      </c>
      <c r="D544">
        <v>9</v>
      </c>
      <c r="E544">
        <v>9</v>
      </c>
      <c r="F544" t="s">
        <v>17</v>
      </c>
      <c r="G544">
        <v>0</v>
      </c>
      <c r="H544">
        <v>2910</v>
      </c>
      <c r="I544" t="s">
        <v>347</v>
      </c>
      <c r="J544">
        <v>10</v>
      </c>
      <c r="K544">
        <v>0.51370000000000005</v>
      </c>
      <c r="L544">
        <v>239</v>
      </c>
      <c r="M544" t="s">
        <v>11</v>
      </c>
      <c r="N544">
        <v>9.9870000000000001</v>
      </c>
      <c r="O544">
        <v>32.286200000000001</v>
      </c>
      <c r="P544">
        <v>-115.295</v>
      </c>
      <c r="Q544" t="s">
        <v>939</v>
      </c>
      <c r="R544" t="s">
        <v>139</v>
      </c>
      <c r="S544" t="s">
        <v>140</v>
      </c>
      <c r="U544" t="str">
        <f t="shared" si="24"/>
        <v>N km direction of city</v>
      </c>
      <c r="V544" t="str">
        <f t="shared" si="25"/>
        <v>mw</v>
      </c>
      <c r="X544">
        <f t="shared" si="26"/>
        <v>2010</v>
      </c>
    </row>
    <row r="545" spans="1:24">
      <c r="A545" t="s">
        <v>940</v>
      </c>
      <c r="B545">
        <v>6.6</v>
      </c>
      <c r="C545" s="1">
        <v>40267.70416666667</v>
      </c>
      <c r="D545">
        <v>5</v>
      </c>
      <c r="E545">
        <v>6</v>
      </c>
      <c r="G545">
        <v>0</v>
      </c>
      <c r="H545">
        <v>701</v>
      </c>
      <c r="I545" t="s">
        <v>46</v>
      </c>
      <c r="J545">
        <v>413</v>
      </c>
      <c r="K545">
        <v>0</v>
      </c>
      <c r="L545">
        <v>16.7</v>
      </c>
      <c r="M545" t="s">
        <v>13</v>
      </c>
      <c r="N545">
        <v>34</v>
      </c>
      <c r="O545">
        <v>13.667</v>
      </c>
      <c r="P545">
        <v>92.831000000000003</v>
      </c>
      <c r="Q545" t="s">
        <v>941</v>
      </c>
      <c r="S545" t="s">
        <v>584</v>
      </c>
      <c r="U545" t="str">
        <f t="shared" si="24"/>
        <v>N km direction of city</v>
      </c>
      <c r="V545" t="str">
        <f t="shared" si="25"/>
        <v>mwc</v>
      </c>
      <c r="X545">
        <f t="shared" si="26"/>
        <v>2010</v>
      </c>
    </row>
    <row r="546" spans="1:24">
      <c r="A546" t="s">
        <v>942</v>
      </c>
      <c r="B546">
        <v>6.7</v>
      </c>
      <c r="C546" s="1">
        <v>40253.097916666673</v>
      </c>
      <c r="D546">
        <v>5</v>
      </c>
      <c r="E546">
        <v>6</v>
      </c>
      <c r="G546">
        <v>0</v>
      </c>
      <c r="H546">
        <v>856</v>
      </c>
      <c r="I546" t="s">
        <v>46</v>
      </c>
      <c r="J546">
        <v>312</v>
      </c>
      <c r="K546">
        <v>0</v>
      </c>
      <c r="L546">
        <v>34.700000000000003</v>
      </c>
      <c r="M546" t="s">
        <v>13</v>
      </c>
      <c r="N546">
        <v>18</v>
      </c>
      <c r="O546">
        <v>-36.216999999999999</v>
      </c>
      <c r="P546">
        <v>-73.257000000000005</v>
      </c>
      <c r="Q546" t="s">
        <v>897</v>
      </c>
      <c r="U546" t="str">
        <f t="shared" si="24"/>
        <v>N km direction of city</v>
      </c>
      <c r="V546" t="str">
        <f t="shared" si="25"/>
        <v>mwc</v>
      </c>
      <c r="X546">
        <f t="shared" si="26"/>
        <v>2010</v>
      </c>
    </row>
    <row r="547" spans="1:24">
      <c r="A547" t="s">
        <v>943</v>
      </c>
      <c r="B547">
        <v>6.5</v>
      </c>
      <c r="C547" s="1">
        <v>40251.338888888888</v>
      </c>
      <c r="D547">
        <v>6</v>
      </c>
      <c r="E547">
        <v>5</v>
      </c>
      <c r="G547">
        <v>0</v>
      </c>
      <c r="H547">
        <v>810</v>
      </c>
      <c r="I547" t="s">
        <v>46</v>
      </c>
      <c r="J547">
        <v>491</v>
      </c>
      <c r="K547">
        <v>0</v>
      </c>
      <c r="L547">
        <v>27</v>
      </c>
      <c r="M547" t="s">
        <v>13</v>
      </c>
      <c r="N547">
        <v>32</v>
      </c>
      <c r="O547">
        <v>37.744999999999997</v>
      </c>
      <c r="P547">
        <v>141.59</v>
      </c>
      <c r="Q547" t="s">
        <v>175</v>
      </c>
      <c r="U547" t="str">
        <f t="shared" si="24"/>
        <v>N km direction of city</v>
      </c>
      <c r="V547" t="str">
        <f t="shared" si="25"/>
        <v>mwc</v>
      </c>
      <c r="X547">
        <f t="shared" si="26"/>
        <v>2010</v>
      </c>
    </row>
    <row r="548" spans="1:24">
      <c r="A548" t="s">
        <v>944</v>
      </c>
      <c r="B548">
        <v>7</v>
      </c>
      <c r="C548" s="1">
        <v>40248.621527777781</v>
      </c>
      <c r="D548">
        <v>7</v>
      </c>
      <c r="E548">
        <v>7</v>
      </c>
      <c r="G548">
        <v>0</v>
      </c>
      <c r="H548">
        <v>874</v>
      </c>
      <c r="I548" t="s">
        <v>46</v>
      </c>
      <c r="J548">
        <v>403</v>
      </c>
      <c r="K548">
        <v>0</v>
      </c>
      <c r="L548">
        <v>17.100000000000001</v>
      </c>
      <c r="M548" t="s">
        <v>13</v>
      </c>
      <c r="N548">
        <v>18</v>
      </c>
      <c r="O548">
        <v>-34.326000000000001</v>
      </c>
      <c r="P548">
        <v>-71.799000000000007</v>
      </c>
      <c r="Q548" t="s">
        <v>945</v>
      </c>
      <c r="R548" t="s">
        <v>53</v>
      </c>
      <c r="S548" t="s">
        <v>275</v>
      </c>
      <c r="U548" t="str">
        <f t="shared" si="24"/>
        <v>N km direction of city</v>
      </c>
      <c r="V548" t="str">
        <f t="shared" si="25"/>
        <v>mwc</v>
      </c>
      <c r="X548">
        <f t="shared" si="26"/>
        <v>2010</v>
      </c>
    </row>
    <row r="549" spans="1:24">
      <c r="A549" t="s">
        <v>946</v>
      </c>
      <c r="B549">
        <v>6.9</v>
      </c>
      <c r="C549" s="1">
        <v>40248.61041666667</v>
      </c>
      <c r="D549">
        <v>7</v>
      </c>
      <c r="E549">
        <v>7</v>
      </c>
      <c r="G549">
        <v>0</v>
      </c>
      <c r="H549">
        <v>1280</v>
      </c>
      <c r="I549" t="s">
        <v>46</v>
      </c>
      <c r="J549">
        <v>415</v>
      </c>
      <c r="K549">
        <v>0</v>
      </c>
      <c r="L549">
        <v>12.5</v>
      </c>
      <c r="M549" t="s">
        <v>13</v>
      </c>
      <c r="N549">
        <v>11</v>
      </c>
      <c r="O549">
        <v>-34.29</v>
      </c>
      <c r="P549">
        <v>-71.891000000000005</v>
      </c>
      <c r="Q549" t="s">
        <v>945</v>
      </c>
      <c r="R549" t="s">
        <v>53</v>
      </c>
      <c r="S549" t="s">
        <v>275</v>
      </c>
      <c r="U549" t="str">
        <f t="shared" si="24"/>
        <v>N km direction of city</v>
      </c>
      <c r="V549" t="str">
        <f t="shared" si="25"/>
        <v>mwc</v>
      </c>
      <c r="X549">
        <f t="shared" si="26"/>
        <v>2010</v>
      </c>
    </row>
    <row r="550" spans="1:24">
      <c r="A550" t="s">
        <v>947</v>
      </c>
      <c r="B550">
        <v>6.8</v>
      </c>
      <c r="C550" s="1">
        <v>40242.671527777777</v>
      </c>
      <c r="D550">
        <v>4</v>
      </c>
      <c r="E550">
        <v>6</v>
      </c>
      <c r="G550">
        <v>0</v>
      </c>
      <c r="H550">
        <v>717</v>
      </c>
      <c r="I550" t="s">
        <v>46</v>
      </c>
      <c r="J550">
        <v>401</v>
      </c>
      <c r="K550">
        <v>0</v>
      </c>
      <c r="L550">
        <v>23.2</v>
      </c>
      <c r="M550" t="s">
        <v>13</v>
      </c>
      <c r="N550">
        <v>26</v>
      </c>
      <c r="O550">
        <v>-3.762</v>
      </c>
      <c r="P550">
        <v>100.991</v>
      </c>
      <c r="Q550" t="s">
        <v>126</v>
      </c>
      <c r="S550" t="s">
        <v>77</v>
      </c>
      <c r="U550" t="str">
        <f t="shared" si="24"/>
        <v>N km direction of city</v>
      </c>
      <c r="V550" t="str">
        <f t="shared" si="25"/>
        <v>mwc</v>
      </c>
      <c r="X550">
        <f t="shared" si="26"/>
        <v>2010</v>
      </c>
    </row>
    <row r="551" spans="1:24">
      <c r="A551" t="s">
        <v>948</v>
      </c>
      <c r="B551">
        <v>6.6</v>
      </c>
      <c r="C551" s="1">
        <v>40242.490972222222</v>
      </c>
      <c r="D551">
        <v>7</v>
      </c>
      <c r="E551">
        <v>7</v>
      </c>
      <c r="G551">
        <v>0</v>
      </c>
      <c r="H551">
        <v>736</v>
      </c>
      <c r="I551" t="s">
        <v>46</v>
      </c>
      <c r="J551">
        <v>255</v>
      </c>
      <c r="K551">
        <v>0</v>
      </c>
      <c r="L551">
        <v>27.8</v>
      </c>
      <c r="M551" t="s">
        <v>12</v>
      </c>
      <c r="N551">
        <v>18</v>
      </c>
      <c r="O551">
        <v>-36.664999999999999</v>
      </c>
      <c r="P551">
        <v>-73.373999999999995</v>
      </c>
      <c r="Q551" t="s">
        <v>949</v>
      </c>
      <c r="S551" t="s">
        <v>275</v>
      </c>
      <c r="U551" t="str">
        <f t="shared" si="24"/>
        <v>N km direction of city</v>
      </c>
      <c r="V551" t="str">
        <f t="shared" si="25"/>
        <v>mwb</v>
      </c>
      <c r="X551">
        <f t="shared" si="26"/>
        <v>2010</v>
      </c>
    </row>
    <row r="552" spans="1:24">
      <c r="A552" t="s">
        <v>950</v>
      </c>
      <c r="B552">
        <v>6.5</v>
      </c>
      <c r="C552" s="1">
        <v>40241.584722222222</v>
      </c>
      <c r="D552">
        <v>0</v>
      </c>
      <c r="E552">
        <v>4</v>
      </c>
      <c r="G552">
        <v>0</v>
      </c>
      <c r="H552">
        <v>650</v>
      </c>
      <c r="I552" t="s">
        <v>46</v>
      </c>
      <c r="J552">
        <v>426</v>
      </c>
      <c r="K552">
        <v>0</v>
      </c>
      <c r="L552">
        <v>18.7</v>
      </c>
      <c r="M552" t="s">
        <v>12</v>
      </c>
      <c r="N552">
        <v>176</v>
      </c>
      <c r="O552">
        <v>-13.571</v>
      </c>
      <c r="P552">
        <v>167.227</v>
      </c>
      <c r="Q552" t="s">
        <v>47</v>
      </c>
      <c r="S552" t="s">
        <v>48</v>
      </c>
      <c r="U552" t="str">
        <f t="shared" si="24"/>
        <v>N km direction of city</v>
      </c>
      <c r="V552" t="str">
        <f t="shared" si="25"/>
        <v>mwb</v>
      </c>
      <c r="X552">
        <f t="shared" si="26"/>
        <v>2010</v>
      </c>
    </row>
    <row r="553" spans="1:24">
      <c r="A553" t="s">
        <v>951</v>
      </c>
      <c r="B553">
        <v>7.4</v>
      </c>
      <c r="C553" s="1">
        <v>40236.334027777782</v>
      </c>
      <c r="D553">
        <v>0</v>
      </c>
      <c r="E553">
        <v>5</v>
      </c>
      <c r="G553">
        <v>0</v>
      </c>
      <c r="H553">
        <v>842</v>
      </c>
      <c r="I553" t="s">
        <v>46</v>
      </c>
      <c r="J553">
        <v>409</v>
      </c>
      <c r="K553">
        <v>0</v>
      </c>
      <c r="L553">
        <v>17.600000000000001</v>
      </c>
      <c r="M553" t="s">
        <v>13</v>
      </c>
      <c r="N553">
        <v>35</v>
      </c>
      <c r="O553">
        <v>-37.773000000000003</v>
      </c>
      <c r="P553">
        <v>-75.048000000000002</v>
      </c>
      <c r="Q553" t="s">
        <v>952</v>
      </c>
      <c r="U553" t="str">
        <f t="shared" si="24"/>
        <v>N km direction of city</v>
      </c>
      <c r="V553" t="str">
        <f t="shared" si="25"/>
        <v>mwc</v>
      </c>
      <c r="X553">
        <f t="shared" si="26"/>
        <v>2010</v>
      </c>
    </row>
    <row r="554" spans="1:24">
      <c r="A554" t="s">
        <v>953</v>
      </c>
      <c r="B554">
        <v>8.8000000000000007</v>
      </c>
      <c r="C554" s="1">
        <v>40236.273611111108</v>
      </c>
      <c r="D554">
        <v>8</v>
      </c>
      <c r="E554">
        <v>8</v>
      </c>
      <c r="G554">
        <v>0</v>
      </c>
      <c r="H554">
        <v>1991</v>
      </c>
      <c r="I554" t="s">
        <v>839</v>
      </c>
      <c r="J554">
        <v>454</v>
      </c>
      <c r="K554">
        <v>0</v>
      </c>
      <c r="L554">
        <v>17.8</v>
      </c>
      <c r="M554" t="s">
        <v>14</v>
      </c>
      <c r="N554">
        <v>22.9</v>
      </c>
      <c r="O554">
        <v>-36.122</v>
      </c>
      <c r="P554">
        <v>-72.897999999999996</v>
      </c>
      <c r="Q554" t="s">
        <v>954</v>
      </c>
      <c r="R554" t="s">
        <v>53</v>
      </c>
      <c r="S554" t="s">
        <v>275</v>
      </c>
      <c r="U554" t="str">
        <f t="shared" si="24"/>
        <v>N km direction of city</v>
      </c>
      <c r="V554" t="str">
        <f t="shared" si="25"/>
        <v>mww</v>
      </c>
      <c r="X554">
        <f t="shared" si="26"/>
        <v>2010</v>
      </c>
    </row>
    <row r="555" spans="1:24">
      <c r="A555" t="s">
        <v>955</v>
      </c>
      <c r="B555">
        <v>7</v>
      </c>
      <c r="C555" s="1">
        <v>40235.854861111111</v>
      </c>
      <c r="D555">
        <v>6</v>
      </c>
      <c r="E555">
        <v>6</v>
      </c>
      <c r="G555">
        <v>0</v>
      </c>
      <c r="H555">
        <v>1180</v>
      </c>
      <c r="I555" t="s">
        <v>46</v>
      </c>
      <c r="J555">
        <v>487</v>
      </c>
      <c r="K555">
        <v>0</v>
      </c>
      <c r="L555">
        <v>15.7</v>
      </c>
      <c r="M555" t="s">
        <v>13</v>
      </c>
      <c r="N555">
        <v>25</v>
      </c>
      <c r="O555">
        <v>25.93</v>
      </c>
      <c r="P555">
        <v>128.42500000000001</v>
      </c>
      <c r="Q555" t="s">
        <v>956</v>
      </c>
      <c r="U555" t="str">
        <f t="shared" si="24"/>
        <v>N km direction of city</v>
      </c>
      <c r="V555" t="str">
        <f t="shared" si="25"/>
        <v>mwc</v>
      </c>
      <c r="X555">
        <f t="shared" si="26"/>
        <v>2010</v>
      </c>
    </row>
    <row r="556" spans="1:24">
      <c r="A556" t="s">
        <v>957</v>
      </c>
      <c r="B556">
        <v>7</v>
      </c>
      <c r="C556" s="1">
        <v>40190.911805555559</v>
      </c>
      <c r="D556">
        <v>9</v>
      </c>
      <c r="E556">
        <v>9</v>
      </c>
      <c r="G556">
        <v>0</v>
      </c>
      <c r="H556">
        <v>1623</v>
      </c>
      <c r="I556" t="s">
        <v>46</v>
      </c>
      <c r="J556">
        <v>500</v>
      </c>
      <c r="K556">
        <v>0</v>
      </c>
      <c r="L556">
        <v>22.7</v>
      </c>
      <c r="M556" t="s">
        <v>13</v>
      </c>
      <c r="N556">
        <v>13</v>
      </c>
      <c r="O556">
        <v>18.443000000000001</v>
      </c>
      <c r="P556">
        <v>-72.570999999999998</v>
      </c>
      <c r="Q556" t="s">
        <v>958</v>
      </c>
      <c r="S556" t="s">
        <v>220</v>
      </c>
      <c r="U556" t="str">
        <f t="shared" si="24"/>
        <v>N km direction of city</v>
      </c>
      <c r="V556" t="str">
        <f t="shared" si="25"/>
        <v>mwc</v>
      </c>
      <c r="X556">
        <f t="shared" si="26"/>
        <v>2010</v>
      </c>
    </row>
    <row r="557" spans="1:24">
      <c r="A557" t="s">
        <v>959</v>
      </c>
      <c r="B557">
        <v>6.5</v>
      </c>
      <c r="C557" s="1">
        <v>40188.018750000003</v>
      </c>
      <c r="D557">
        <v>7</v>
      </c>
      <c r="E557">
        <v>7</v>
      </c>
      <c r="G557">
        <v>0</v>
      </c>
      <c r="H557">
        <v>1360</v>
      </c>
      <c r="I557" t="s">
        <v>716</v>
      </c>
      <c r="J557">
        <v>51</v>
      </c>
      <c r="K557">
        <v>0.32250000000000001</v>
      </c>
      <c r="L557">
        <v>220</v>
      </c>
      <c r="M557" t="s">
        <v>11</v>
      </c>
      <c r="N557">
        <v>28.736999999999998</v>
      </c>
      <c r="O557">
        <v>40.652000000000001</v>
      </c>
      <c r="P557">
        <v>-124.69199999999999</v>
      </c>
      <c r="Q557" t="s">
        <v>520</v>
      </c>
      <c r="R557" t="s">
        <v>139</v>
      </c>
      <c r="U557" t="str">
        <f t="shared" si="24"/>
        <v>N km direction of city</v>
      </c>
      <c r="V557" t="str">
        <f t="shared" si="25"/>
        <v>mw</v>
      </c>
      <c r="X557">
        <f t="shared" si="26"/>
        <v>2010</v>
      </c>
    </row>
    <row r="558" spans="1:24">
      <c r="A558" t="s">
        <v>960</v>
      </c>
      <c r="B558">
        <v>6.8</v>
      </c>
      <c r="C558" s="1">
        <v>40183.510416666657</v>
      </c>
      <c r="D558">
        <v>3</v>
      </c>
      <c r="E558">
        <v>6</v>
      </c>
      <c r="G558">
        <v>0</v>
      </c>
      <c r="H558">
        <v>713</v>
      </c>
      <c r="I558" t="s">
        <v>46</v>
      </c>
      <c r="J558">
        <v>338</v>
      </c>
      <c r="K558">
        <v>0</v>
      </c>
      <c r="L558">
        <v>15</v>
      </c>
      <c r="M558" t="s">
        <v>13</v>
      </c>
      <c r="N558">
        <v>15.4</v>
      </c>
      <c r="O558">
        <v>-9.0190000000000001</v>
      </c>
      <c r="P558">
        <v>157.55099999999999</v>
      </c>
      <c r="Q558" t="s">
        <v>621</v>
      </c>
      <c r="U558" t="str">
        <f t="shared" si="24"/>
        <v>N km direction of city</v>
      </c>
      <c r="V558" t="str">
        <f t="shared" si="25"/>
        <v>mwc</v>
      </c>
      <c r="X558">
        <f t="shared" si="26"/>
        <v>2010</v>
      </c>
    </row>
    <row r="559" spans="1:24">
      <c r="A559" t="s">
        <v>961</v>
      </c>
      <c r="B559">
        <v>7.1</v>
      </c>
      <c r="C559" s="1">
        <v>40181.941666666673</v>
      </c>
      <c r="D559">
        <v>5</v>
      </c>
      <c r="E559">
        <v>7</v>
      </c>
      <c r="G559">
        <v>0</v>
      </c>
      <c r="H559">
        <v>780</v>
      </c>
      <c r="I559" t="s">
        <v>46</v>
      </c>
      <c r="J559">
        <v>377</v>
      </c>
      <c r="K559">
        <v>0</v>
      </c>
      <c r="L559">
        <v>15</v>
      </c>
      <c r="M559" t="s">
        <v>13</v>
      </c>
      <c r="N559">
        <v>10</v>
      </c>
      <c r="O559">
        <v>-8.7829999999999995</v>
      </c>
      <c r="P559">
        <v>157.35400000000001</v>
      </c>
      <c r="Q559" t="s">
        <v>621</v>
      </c>
      <c r="S559" t="s">
        <v>124</v>
      </c>
      <c r="U559" t="str">
        <f t="shared" si="24"/>
        <v>N km direction of city</v>
      </c>
      <c r="V559" t="str">
        <f t="shared" si="25"/>
        <v>mwc</v>
      </c>
      <c r="X559">
        <f t="shared" si="26"/>
        <v>2010</v>
      </c>
    </row>
    <row r="560" spans="1:24">
      <c r="A560" t="s">
        <v>962</v>
      </c>
      <c r="B560">
        <v>6.6</v>
      </c>
      <c r="C560" s="1">
        <v>40181.908333333333</v>
      </c>
      <c r="D560">
        <v>5</v>
      </c>
      <c r="E560">
        <v>7</v>
      </c>
      <c r="G560">
        <v>0</v>
      </c>
      <c r="H560">
        <v>672</v>
      </c>
      <c r="I560" t="s">
        <v>46</v>
      </c>
      <c r="J560">
        <v>282</v>
      </c>
      <c r="K560">
        <v>0</v>
      </c>
      <c r="L560">
        <v>16.600000000000001</v>
      </c>
      <c r="M560" t="s">
        <v>13</v>
      </c>
      <c r="N560">
        <v>10</v>
      </c>
      <c r="O560">
        <v>-8.7260000000000009</v>
      </c>
      <c r="P560">
        <v>157.48699999999999</v>
      </c>
      <c r="Q560" t="s">
        <v>621</v>
      </c>
      <c r="S560" t="s">
        <v>124</v>
      </c>
      <c r="U560" t="str">
        <f t="shared" si="24"/>
        <v>N km direction of city</v>
      </c>
      <c r="V560" t="str">
        <f t="shared" si="25"/>
        <v>mwc</v>
      </c>
      <c r="X560">
        <f t="shared" si="26"/>
        <v>2010</v>
      </c>
    </row>
    <row r="561" spans="1:24">
      <c r="A561" t="s">
        <v>963</v>
      </c>
      <c r="B561">
        <v>6.5</v>
      </c>
      <c r="C561" s="1">
        <v>40130.128472222219</v>
      </c>
      <c r="D561">
        <v>6</v>
      </c>
      <c r="E561">
        <v>7</v>
      </c>
      <c r="G561">
        <v>0</v>
      </c>
      <c r="H561">
        <v>698</v>
      </c>
      <c r="I561" t="s">
        <v>46</v>
      </c>
      <c r="J561">
        <v>390</v>
      </c>
      <c r="K561">
        <v>0</v>
      </c>
      <c r="L561">
        <v>17.7</v>
      </c>
      <c r="M561" t="s">
        <v>13</v>
      </c>
      <c r="N561">
        <v>27</v>
      </c>
      <c r="O561">
        <v>-19.393999999999998</v>
      </c>
      <c r="P561">
        <v>-70.320999999999998</v>
      </c>
      <c r="Q561" t="s">
        <v>710</v>
      </c>
      <c r="R561" t="s">
        <v>53</v>
      </c>
      <c r="S561" t="s">
        <v>275</v>
      </c>
      <c r="U561" t="str">
        <f t="shared" si="24"/>
        <v>N km direction of city</v>
      </c>
      <c r="V561" t="str">
        <f t="shared" si="25"/>
        <v>mwc</v>
      </c>
      <c r="X561">
        <f t="shared" si="26"/>
        <v>2009</v>
      </c>
    </row>
    <row r="562" spans="1:24">
      <c r="A562" t="s">
        <v>964</v>
      </c>
      <c r="B562">
        <v>7.3</v>
      </c>
      <c r="C562" s="1">
        <v>40126.447222222218</v>
      </c>
      <c r="D562">
        <v>0</v>
      </c>
      <c r="E562">
        <v>4</v>
      </c>
      <c r="G562">
        <v>0</v>
      </c>
      <c r="H562">
        <v>820</v>
      </c>
      <c r="I562" t="s">
        <v>46</v>
      </c>
      <c r="J562">
        <v>430</v>
      </c>
      <c r="K562">
        <v>0</v>
      </c>
      <c r="L562">
        <v>15</v>
      </c>
      <c r="M562" t="s">
        <v>13</v>
      </c>
      <c r="N562">
        <v>595</v>
      </c>
      <c r="O562">
        <v>-17.239000000000001</v>
      </c>
      <c r="P562">
        <v>178.33099999999999</v>
      </c>
      <c r="Q562" t="s">
        <v>965</v>
      </c>
      <c r="S562" t="s">
        <v>128</v>
      </c>
      <c r="U562" t="str">
        <f t="shared" si="24"/>
        <v>N km direction of city</v>
      </c>
      <c r="V562" t="str">
        <f t="shared" si="25"/>
        <v>mwc</v>
      </c>
      <c r="X562">
        <f t="shared" si="26"/>
        <v>2009</v>
      </c>
    </row>
    <row r="563" spans="1:24">
      <c r="A563" t="s">
        <v>966</v>
      </c>
      <c r="B563">
        <v>6.6</v>
      </c>
      <c r="C563" s="1">
        <v>40125.820138888892</v>
      </c>
      <c r="D563">
        <v>7</v>
      </c>
      <c r="E563">
        <v>6</v>
      </c>
      <c r="G563">
        <v>0</v>
      </c>
      <c r="H563">
        <v>677</v>
      </c>
      <c r="I563" t="s">
        <v>46</v>
      </c>
      <c r="J563">
        <v>305</v>
      </c>
      <c r="K563">
        <v>0</v>
      </c>
      <c r="L563">
        <v>20.399999999999999</v>
      </c>
      <c r="M563" t="s">
        <v>13</v>
      </c>
      <c r="N563">
        <v>18</v>
      </c>
      <c r="O563">
        <v>-8.2070000000000007</v>
      </c>
      <c r="P563">
        <v>118.631</v>
      </c>
      <c r="Q563" t="s">
        <v>967</v>
      </c>
      <c r="S563" t="s">
        <v>77</v>
      </c>
      <c r="U563" t="str">
        <f t="shared" si="24"/>
        <v>N km direction of city</v>
      </c>
      <c r="V563" t="str">
        <f t="shared" si="25"/>
        <v>mwc</v>
      </c>
      <c r="X563">
        <f t="shared" si="26"/>
        <v>2009</v>
      </c>
    </row>
    <row r="564" spans="1:24">
      <c r="A564" t="s">
        <v>968</v>
      </c>
      <c r="B564">
        <v>6.8</v>
      </c>
      <c r="C564" s="1">
        <v>40116.293749999997</v>
      </c>
      <c r="D564">
        <v>0</v>
      </c>
      <c r="E564">
        <v>6</v>
      </c>
      <c r="G564">
        <v>0</v>
      </c>
      <c r="H564">
        <v>711</v>
      </c>
      <c r="I564" t="s">
        <v>46</v>
      </c>
      <c r="J564">
        <v>424</v>
      </c>
      <c r="K564">
        <v>0</v>
      </c>
      <c r="L564">
        <v>21.4</v>
      </c>
      <c r="M564" t="s">
        <v>13</v>
      </c>
      <c r="N564">
        <v>34</v>
      </c>
      <c r="O564">
        <v>29.218</v>
      </c>
      <c r="P564">
        <v>129.78200000000001</v>
      </c>
      <c r="Q564" t="s">
        <v>292</v>
      </c>
      <c r="U564" t="str">
        <f t="shared" si="24"/>
        <v>N km direction of city</v>
      </c>
      <c r="V564" t="str">
        <f t="shared" si="25"/>
        <v>mwc</v>
      </c>
      <c r="X564">
        <f t="shared" si="26"/>
        <v>2009</v>
      </c>
    </row>
    <row r="565" spans="1:24">
      <c r="A565" t="s">
        <v>969</v>
      </c>
      <c r="B565">
        <v>6.9</v>
      </c>
      <c r="C565" s="1">
        <v>40110.611111111109</v>
      </c>
      <c r="D565">
        <v>4</v>
      </c>
      <c r="E565">
        <v>6</v>
      </c>
      <c r="G565">
        <v>0</v>
      </c>
      <c r="H565">
        <v>972</v>
      </c>
      <c r="I565" t="s">
        <v>46</v>
      </c>
      <c r="J565">
        <v>397</v>
      </c>
      <c r="K565">
        <v>0</v>
      </c>
      <c r="L565">
        <v>11</v>
      </c>
      <c r="M565" t="s">
        <v>13</v>
      </c>
      <c r="N565">
        <v>130</v>
      </c>
      <c r="O565">
        <v>-6.133</v>
      </c>
      <c r="P565">
        <v>130.38499999999999</v>
      </c>
      <c r="Q565" t="s">
        <v>813</v>
      </c>
      <c r="S565" t="s">
        <v>77</v>
      </c>
      <c r="U565" t="str">
        <f t="shared" si="24"/>
        <v>N km direction of city</v>
      </c>
      <c r="V565" t="str">
        <f t="shared" si="25"/>
        <v>mwc</v>
      </c>
      <c r="X565">
        <f t="shared" si="26"/>
        <v>2009</v>
      </c>
    </row>
    <row r="566" spans="1:24">
      <c r="A566" t="s">
        <v>970</v>
      </c>
      <c r="B566">
        <v>6.8</v>
      </c>
      <c r="C566" s="1">
        <v>40094.352777777778</v>
      </c>
      <c r="D566">
        <v>0</v>
      </c>
      <c r="E566">
        <v>5</v>
      </c>
      <c r="G566">
        <v>0</v>
      </c>
      <c r="H566">
        <v>711</v>
      </c>
      <c r="I566" t="s">
        <v>46</v>
      </c>
      <c r="J566">
        <v>174</v>
      </c>
      <c r="K566">
        <v>0</v>
      </c>
      <c r="L566">
        <v>30.2</v>
      </c>
      <c r="M566" t="s">
        <v>13</v>
      </c>
      <c r="N566">
        <v>35</v>
      </c>
      <c r="O566">
        <v>-13.298</v>
      </c>
      <c r="P566">
        <v>165.91</v>
      </c>
      <c r="Q566" t="s">
        <v>47</v>
      </c>
      <c r="U566" t="str">
        <f t="shared" si="24"/>
        <v>N km direction of city</v>
      </c>
      <c r="V566" t="str">
        <f t="shared" si="25"/>
        <v>mwc</v>
      </c>
      <c r="X566">
        <f t="shared" si="26"/>
        <v>2009</v>
      </c>
    </row>
    <row r="567" spans="1:24">
      <c r="A567" t="s">
        <v>971</v>
      </c>
      <c r="B567">
        <v>7.4</v>
      </c>
      <c r="C567" s="1">
        <v>40093.967361111107</v>
      </c>
      <c r="D567">
        <v>0</v>
      </c>
      <c r="E567">
        <v>7</v>
      </c>
      <c r="G567">
        <v>0</v>
      </c>
      <c r="H567">
        <v>842</v>
      </c>
      <c r="I567" t="s">
        <v>46</v>
      </c>
      <c r="J567">
        <v>314</v>
      </c>
      <c r="K567">
        <v>0</v>
      </c>
      <c r="L567">
        <v>20.2</v>
      </c>
      <c r="M567" t="s">
        <v>13</v>
      </c>
      <c r="N567">
        <v>31.1</v>
      </c>
      <c r="O567">
        <v>-13.093</v>
      </c>
      <c r="P567">
        <v>166.49700000000001</v>
      </c>
      <c r="Q567" t="s">
        <v>47</v>
      </c>
      <c r="S567" t="s">
        <v>48</v>
      </c>
      <c r="U567" t="str">
        <f t="shared" si="24"/>
        <v>N km direction of city</v>
      </c>
      <c r="V567" t="str">
        <f t="shared" si="25"/>
        <v>mwc</v>
      </c>
      <c r="X567">
        <f t="shared" si="26"/>
        <v>2009</v>
      </c>
    </row>
    <row r="568" spans="1:24">
      <c r="A568" t="s">
        <v>972</v>
      </c>
      <c r="B568">
        <v>7.8</v>
      </c>
      <c r="C568" s="1">
        <v>40093.929166666669</v>
      </c>
      <c r="D568">
        <v>0</v>
      </c>
      <c r="E568">
        <v>6</v>
      </c>
      <c r="G568">
        <v>0</v>
      </c>
      <c r="H568">
        <v>936</v>
      </c>
      <c r="I568" t="s">
        <v>46</v>
      </c>
      <c r="J568">
        <v>195</v>
      </c>
      <c r="K568">
        <v>0</v>
      </c>
      <c r="L568">
        <v>20.3</v>
      </c>
      <c r="M568" t="s">
        <v>13</v>
      </c>
      <c r="N568">
        <v>35</v>
      </c>
      <c r="O568">
        <v>-12.516999999999999</v>
      </c>
      <c r="P568">
        <v>166.38200000000001</v>
      </c>
      <c r="Q568" t="s">
        <v>47</v>
      </c>
      <c r="U568" t="str">
        <f t="shared" si="24"/>
        <v>N km direction of city</v>
      </c>
      <c r="V568" t="str">
        <f t="shared" si="25"/>
        <v>mwc</v>
      </c>
      <c r="X568">
        <f t="shared" si="26"/>
        <v>2009</v>
      </c>
    </row>
    <row r="569" spans="1:24">
      <c r="A569" t="s">
        <v>973</v>
      </c>
      <c r="B569">
        <v>7.7</v>
      </c>
      <c r="C569" s="1">
        <v>40093.918749999997</v>
      </c>
      <c r="D569">
        <v>4</v>
      </c>
      <c r="E569">
        <v>7</v>
      </c>
      <c r="G569">
        <v>0</v>
      </c>
      <c r="H569">
        <v>916</v>
      </c>
      <c r="I569" t="s">
        <v>46</v>
      </c>
      <c r="J569">
        <v>283</v>
      </c>
      <c r="K569">
        <v>0</v>
      </c>
      <c r="L569">
        <v>23.2</v>
      </c>
      <c r="M569" t="s">
        <v>14</v>
      </c>
      <c r="N569">
        <v>45</v>
      </c>
      <c r="O569">
        <v>-13.006</v>
      </c>
      <c r="P569">
        <v>166.51</v>
      </c>
      <c r="Q569" t="s">
        <v>47</v>
      </c>
      <c r="S569" t="s">
        <v>48</v>
      </c>
      <c r="U569" t="str">
        <f t="shared" si="24"/>
        <v>N km direction of city</v>
      </c>
      <c r="V569" t="str">
        <f t="shared" si="25"/>
        <v>mww</v>
      </c>
      <c r="X569">
        <f t="shared" si="26"/>
        <v>2009</v>
      </c>
    </row>
    <row r="570" spans="1:24">
      <c r="A570" t="s">
        <v>974</v>
      </c>
      <c r="B570">
        <v>6.6</v>
      </c>
      <c r="C570" s="1">
        <v>40087.077777777777</v>
      </c>
      <c r="D570">
        <v>7</v>
      </c>
      <c r="E570">
        <v>7</v>
      </c>
      <c r="G570">
        <v>0</v>
      </c>
      <c r="H570">
        <v>787</v>
      </c>
      <c r="I570" t="s">
        <v>46</v>
      </c>
      <c r="J570">
        <v>417</v>
      </c>
      <c r="K570">
        <v>0</v>
      </c>
      <c r="L570">
        <v>30.1</v>
      </c>
      <c r="M570" t="s">
        <v>13</v>
      </c>
      <c r="N570">
        <v>9</v>
      </c>
      <c r="O570">
        <v>-2.4820000000000002</v>
      </c>
      <c r="P570">
        <v>101.524</v>
      </c>
      <c r="Q570" t="s">
        <v>552</v>
      </c>
      <c r="S570" t="s">
        <v>77</v>
      </c>
      <c r="U570" t="str">
        <f t="shared" si="24"/>
        <v>N km direction of city</v>
      </c>
      <c r="V570" t="str">
        <f t="shared" si="25"/>
        <v>mwc</v>
      </c>
      <c r="X570">
        <f t="shared" si="26"/>
        <v>2009</v>
      </c>
    </row>
    <row r="571" spans="1:24">
      <c r="A571" t="s">
        <v>975</v>
      </c>
      <c r="B571">
        <v>7.6</v>
      </c>
      <c r="C571" s="1">
        <v>40086.427777777782</v>
      </c>
      <c r="D571">
        <v>8</v>
      </c>
      <c r="E571">
        <v>8</v>
      </c>
      <c r="G571">
        <v>0</v>
      </c>
      <c r="H571">
        <v>1639</v>
      </c>
      <c r="I571" t="s">
        <v>46</v>
      </c>
      <c r="J571">
        <v>498</v>
      </c>
      <c r="K571">
        <v>0</v>
      </c>
      <c r="L571">
        <v>14</v>
      </c>
      <c r="M571" t="s">
        <v>13</v>
      </c>
      <c r="N571">
        <v>81</v>
      </c>
      <c r="O571">
        <v>-0.72</v>
      </c>
      <c r="P571">
        <v>99.867000000000004</v>
      </c>
      <c r="Q571" t="s">
        <v>177</v>
      </c>
      <c r="S571" t="s">
        <v>77</v>
      </c>
      <c r="U571" t="str">
        <f t="shared" si="24"/>
        <v>N km direction of city</v>
      </c>
      <c r="V571" t="str">
        <f t="shared" si="25"/>
        <v>mwc</v>
      </c>
      <c r="X571">
        <f t="shared" si="26"/>
        <v>2009</v>
      </c>
    </row>
    <row r="572" spans="1:24">
      <c r="A572" t="s">
        <v>976</v>
      </c>
      <c r="B572">
        <v>8.1</v>
      </c>
      <c r="C572" s="1">
        <v>40085.741666666669</v>
      </c>
      <c r="D572">
        <v>7</v>
      </c>
      <c r="E572">
        <v>6</v>
      </c>
      <c r="G572">
        <v>0</v>
      </c>
      <c r="H572">
        <v>1055</v>
      </c>
      <c r="I572" t="s">
        <v>46</v>
      </c>
      <c r="J572">
        <v>520</v>
      </c>
      <c r="K572">
        <v>0</v>
      </c>
      <c r="L572">
        <v>20.8</v>
      </c>
      <c r="M572" t="s">
        <v>13</v>
      </c>
      <c r="N572">
        <v>18</v>
      </c>
      <c r="O572">
        <v>-15.489000000000001</v>
      </c>
      <c r="P572">
        <v>-172.095</v>
      </c>
      <c r="Q572" t="s">
        <v>977</v>
      </c>
      <c r="U572" t="str">
        <f t="shared" si="24"/>
        <v>N km direction of city</v>
      </c>
      <c r="V572" t="str">
        <f t="shared" si="25"/>
        <v>mwc</v>
      </c>
      <c r="X572">
        <f t="shared" si="26"/>
        <v>2009</v>
      </c>
    </row>
    <row r="573" spans="1:24">
      <c r="A573" t="s">
        <v>978</v>
      </c>
      <c r="B573">
        <v>7</v>
      </c>
      <c r="C573" s="1">
        <v>40058.329861111109</v>
      </c>
      <c r="D573">
        <v>7</v>
      </c>
      <c r="E573">
        <v>7</v>
      </c>
      <c r="G573">
        <v>0</v>
      </c>
      <c r="H573">
        <v>1175</v>
      </c>
      <c r="I573" t="s">
        <v>46</v>
      </c>
      <c r="J573">
        <v>312</v>
      </c>
      <c r="K573">
        <v>0</v>
      </c>
      <c r="L573">
        <v>16.3</v>
      </c>
      <c r="M573" t="s">
        <v>13</v>
      </c>
      <c r="N573">
        <v>46</v>
      </c>
      <c r="O573">
        <v>-7.782</v>
      </c>
      <c r="P573">
        <v>107.297</v>
      </c>
      <c r="Q573" t="s">
        <v>979</v>
      </c>
      <c r="S573" t="s">
        <v>77</v>
      </c>
      <c r="U573" t="str">
        <f t="shared" si="24"/>
        <v>N km direction of city</v>
      </c>
      <c r="V573" t="str">
        <f t="shared" si="25"/>
        <v>mwc</v>
      </c>
      <c r="X573">
        <f t="shared" si="26"/>
        <v>2009</v>
      </c>
    </row>
    <row r="574" spans="1:24">
      <c r="A574" t="s">
        <v>980</v>
      </c>
      <c r="B574">
        <v>6.7</v>
      </c>
      <c r="C574" s="1">
        <v>40041.318055555559</v>
      </c>
      <c r="D574">
        <v>5</v>
      </c>
      <c r="E574">
        <v>6</v>
      </c>
      <c r="G574">
        <v>0</v>
      </c>
      <c r="H574">
        <v>753</v>
      </c>
      <c r="I574" t="s">
        <v>46</v>
      </c>
      <c r="J574">
        <v>369</v>
      </c>
      <c r="K574">
        <v>0</v>
      </c>
      <c r="L574">
        <v>14.9</v>
      </c>
      <c r="M574" t="s">
        <v>13</v>
      </c>
      <c r="N574">
        <v>20</v>
      </c>
      <c r="O574">
        <v>-1.4790000000000001</v>
      </c>
      <c r="P574">
        <v>99.49</v>
      </c>
      <c r="Q574" t="s">
        <v>981</v>
      </c>
      <c r="S574" t="s">
        <v>77</v>
      </c>
      <c r="U574" t="str">
        <f t="shared" si="24"/>
        <v>N km direction of city</v>
      </c>
      <c r="V574" t="str">
        <f t="shared" si="25"/>
        <v>mwc</v>
      </c>
      <c r="X574">
        <f t="shared" si="26"/>
        <v>2009</v>
      </c>
    </row>
    <row r="575" spans="1:24">
      <c r="A575" t="s">
        <v>982</v>
      </c>
      <c r="B575">
        <v>6.6</v>
      </c>
      <c r="C575" s="1">
        <v>40037.949999999997</v>
      </c>
      <c r="D575">
        <v>4</v>
      </c>
      <c r="E575">
        <v>5</v>
      </c>
      <c r="G575">
        <v>0</v>
      </c>
      <c r="H575">
        <v>703</v>
      </c>
      <c r="I575" t="s">
        <v>46</v>
      </c>
      <c r="J575">
        <v>336</v>
      </c>
      <c r="K575">
        <v>0</v>
      </c>
      <c r="L575">
        <v>14.1</v>
      </c>
      <c r="M575" t="s">
        <v>13</v>
      </c>
      <c r="N575">
        <v>53</v>
      </c>
      <c r="O575">
        <v>32.820999999999998</v>
      </c>
      <c r="P575">
        <v>140.39500000000001</v>
      </c>
      <c r="Q575" t="s">
        <v>983</v>
      </c>
      <c r="U575" t="str">
        <f t="shared" si="24"/>
        <v>N km direction of city</v>
      </c>
      <c r="V575" t="str">
        <f t="shared" si="25"/>
        <v>mwc</v>
      </c>
      <c r="X575">
        <f t="shared" si="26"/>
        <v>2009</v>
      </c>
    </row>
    <row r="576" spans="1:24">
      <c r="A576" t="s">
        <v>984</v>
      </c>
      <c r="B576">
        <v>7.5</v>
      </c>
      <c r="C576" s="1">
        <v>40035.829861111109</v>
      </c>
      <c r="D576">
        <v>7</v>
      </c>
      <c r="E576">
        <v>6</v>
      </c>
      <c r="G576">
        <v>0</v>
      </c>
      <c r="H576">
        <v>1248</v>
      </c>
      <c r="I576" t="s">
        <v>46</v>
      </c>
      <c r="J576">
        <v>303</v>
      </c>
      <c r="K576">
        <v>0</v>
      </c>
      <c r="L576">
        <v>18.2</v>
      </c>
      <c r="M576" t="s">
        <v>13</v>
      </c>
      <c r="N576">
        <v>24</v>
      </c>
      <c r="O576">
        <v>14.099</v>
      </c>
      <c r="P576">
        <v>92.902000000000001</v>
      </c>
      <c r="Q576" t="s">
        <v>941</v>
      </c>
      <c r="U576" t="str">
        <f t="shared" si="24"/>
        <v>N km direction of city</v>
      </c>
      <c r="V576" t="str">
        <f t="shared" si="25"/>
        <v>mwc</v>
      </c>
      <c r="X576">
        <f t="shared" si="26"/>
        <v>2009</v>
      </c>
    </row>
    <row r="577" spans="1:24">
      <c r="A577" t="s">
        <v>985</v>
      </c>
      <c r="B577">
        <v>7.1</v>
      </c>
      <c r="C577" s="1">
        <v>40034.454861111109</v>
      </c>
      <c r="D577">
        <v>5</v>
      </c>
      <c r="E577">
        <v>4</v>
      </c>
      <c r="G577">
        <v>0</v>
      </c>
      <c r="H577">
        <v>1005</v>
      </c>
      <c r="I577" t="s">
        <v>46</v>
      </c>
      <c r="J577">
        <v>447</v>
      </c>
      <c r="K577">
        <v>0</v>
      </c>
      <c r="L577">
        <v>14.2</v>
      </c>
      <c r="M577" t="s">
        <v>13</v>
      </c>
      <c r="N577">
        <v>292</v>
      </c>
      <c r="O577">
        <v>33.167000000000002</v>
      </c>
      <c r="P577">
        <v>137.94399999999999</v>
      </c>
      <c r="Q577" t="s">
        <v>986</v>
      </c>
      <c r="U577" t="str">
        <f t="shared" si="24"/>
        <v>N km direction of city</v>
      </c>
      <c r="V577" t="str">
        <f t="shared" si="25"/>
        <v>mwc</v>
      </c>
      <c r="X577">
        <f t="shared" si="26"/>
        <v>2009</v>
      </c>
    </row>
    <row r="578" spans="1:24">
      <c r="A578" t="s">
        <v>987</v>
      </c>
      <c r="B578">
        <v>6.9</v>
      </c>
      <c r="C578" s="1">
        <v>40028.749305555553</v>
      </c>
      <c r="D578">
        <v>5</v>
      </c>
      <c r="E578">
        <v>7</v>
      </c>
      <c r="G578">
        <v>0</v>
      </c>
      <c r="H578">
        <v>1202</v>
      </c>
      <c r="I578" t="s">
        <v>46</v>
      </c>
      <c r="J578">
        <v>243</v>
      </c>
      <c r="K578">
        <v>0</v>
      </c>
      <c r="L578">
        <v>35</v>
      </c>
      <c r="M578" t="s">
        <v>13</v>
      </c>
      <c r="N578">
        <v>10</v>
      </c>
      <c r="O578">
        <v>29.039000000000001</v>
      </c>
      <c r="P578">
        <v>-112.90300000000001</v>
      </c>
      <c r="Q578" t="s">
        <v>988</v>
      </c>
      <c r="R578" t="s">
        <v>139</v>
      </c>
      <c r="S578" t="s">
        <v>140</v>
      </c>
      <c r="U578" t="str">
        <f t="shared" ref="U578:U641" si="27">IF(ISNUMBER(SEARCH("km",A578)),"N km direction of city","Named-region")</f>
        <v>N km direction of city</v>
      </c>
      <c r="V578" t="str">
        <f t="shared" ref="V578:V641" si="28">LOWER(M578)</f>
        <v>mwc</v>
      </c>
      <c r="X578">
        <f t="shared" ref="X578:X641" si="29">YEAR(C578)</f>
        <v>2009</v>
      </c>
    </row>
    <row r="579" spans="1:24">
      <c r="A579" t="s">
        <v>989</v>
      </c>
      <c r="B579">
        <v>7.8</v>
      </c>
      <c r="C579" s="1">
        <v>40009.390277777777</v>
      </c>
      <c r="D579">
        <v>6</v>
      </c>
      <c r="E579">
        <v>8</v>
      </c>
      <c r="G579">
        <v>0</v>
      </c>
      <c r="H579">
        <v>1165</v>
      </c>
      <c r="I579" t="s">
        <v>46</v>
      </c>
      <c r="J579">
        <v>434</v>
      </c>
      <c r="K579">
        <v>0</v>
      </c>
      <c r="L579">
        <v>16.8</v>
      </c>
      <c r="M579" t="s">
        <v>13</v>
      </c>
      <c r="N579">
        <v>12</v>
      </c>
      <c r="O579">
        <v>-45.762</v>
      </c>
      <c r="P579">
        <v>166.56200000000001</v>
      </c>
      <c r="Q579" t="s">
        <v>990</v>
      </c>
      <c r="S579" t="s">
        <v>529</v>
      </c>
      <c r="U579" t="str">
        <f t="shared" si="27"/>
        <v>N km direction of city</v>
      </c>
      <c r="V579" t="str">
        <f t="shared" si="28"/>
        <v>mwc</v>
      </c>
      <c r="X579">
        <f t="shared" si="29"/>
        <v>2009</v>
      </c>
    </row>
    <row r="580" spans="1:24">
      <c r="A580" t="s">
        <v>991</v>
      </c>
      <c r="B580">
        <v>6.7</v>
      </c>
      <c r="C580" s="1">
        <v>39987.59652777778</v>
      </c>
      <c r="D580">
        <v>5</v>
      </c>
      <c r="E580">
        <v>5</v>
      </c>
      <c r="G580">
        <v>0</v>
      </c>
      <c r="H580">
        <v>693</v>
      </c>
      <c r="I580" t="s">
        <v>46</v>
      </c>
      <c r="J580">
        <v>269</v>
      </c>
      <c r="K580">
        <v>0</v>
      </c>
      <c r="L580">
        <v>13.8</v>
      </c>
      <c r="M580" t="s">
        <v>13</v>
      </c>
      <c r="N580">
        <v>64</v>
      </c>
      <c r="O580">
        <v>-5.157</v>
      </c>
      <c r="P580">
        <v>153.78200000000001</v>
      </c>
      <c r="Q580" t="s">
        <v>434</v>
      </c>
      <c r="S580" t="s">
        <v>89</v>
      </c>
      <c r="U580" t="str">
        <f t="shared" si="27"/>
        <v>N km direction of city</v>
      </c>
      <c r="V580" t="str">
        <f t="shared" si="28"/>
        <v>mwc</v>
      </c>
      <c r="X580">
        <f t="shared" si="29"/>
        <v>2009</v>
      </c>
    </row>
    <row r="581" spans="1:24">
      <c r="A581" t="s">
        <v>992</v>
      </c>
      <c r="B581">
        <v>7.3</v>
      </c>
      <c r="C581" s="1">
        <v>39961.35</v>
      </c>
      <c r="D581">
        <v>7</v>
      </c>
      <c r="E581">
        <v>8</v>
      </c>
      <c r="G581">
        <v>0</v>
      </c>
      <c r="H581">
        <v>1560</v>
      </c>
      <c r="I581" t="s">
        <v>46</v>
      </c>
      <c r="J581">
        <v>464</v>
      </c>
      <c r="K581">
        <v>0</v>
      </c>
      <c r="L581">
        <v>27.2</v>
      </c>
      <c r="M581" t="s">
        <v>13</v>
      </c>
      <c r="N581">
        <v>19</v>
      </c>
      <c r="O581">
        <v>16.731000000000002</v>
      </c>
      <c r="P581">
        <v>-86.216999999999999</v>
      </c>
      <c r="Q581" t="s">
        <v>993</v>
      </c>
      <c r="U581" t="str">
        <f t="shared" si="27"/>
        <v>N km direction of city</v>
      </c>
      <c r="V581" t="str">
        <f t="shared" si="28"/>
        <v>mwc</v>
      </c>
      <c r="X581">
        <f t="shared" si="29"/>
        <v>2009</v>
      </c>
    </row>
    <row r="582" spans="1:24">
      <c r="A582" t="s">
        <v>994</v>
      </c>
      <c r="B582">
        <v>7.6</v>
      </c>
      <c r="C582" s="1">
        <v>39891.761805555558</v>
      </c>
      <c r="D582">
        <v>7</v>
      </c>
      <c r="E582">
        <v>5</v>
      </c>
      <c r="G582">
        <v>0</v>
      </c>
      <c r="H582">
        <v>916</v>
      </c>
      <c r="I582" t="s">
        <v>46</v>
      </c>
      <c r="J582">
        <v>504</v>
      </c>
      <c r="K582">
        <v>0</v>
      </c>
      <c r="L582">
        <v>14</v>
      </c>
      <c r="M582" t="s">
        <v>13</v>
      </c>
      <c r="N582">
        <v>31</v>
      </c>
      <c r="O582">
        <v>-23.042999999999999</v>
      </c>
      <c r="P582">
        <v>-174.66</v>
      </c>
      <c r="Q582" t="s">
        <v>995</v>
      </c>
      <c r="U582" t="str">
        <f t="shared" si="27"/>
        <v>N km direction of city</v>
      </c>
      <c r="V582" t="str">
        <f t="shared" si="28"/>
        <v>mwc</v>
      </c>
      <c r="X582">
        <f t="shared" si="29"/>
        <v>2009</v>
      </c>
    </row>
    <row r="583" spans="1:24">
      <c r="A583" t="s">
        <v>996</v>
      </c>
      <c r="B583">
        <v>7.2</v>
      </c>
      <c r="C583" s="1">
        <v>39855.731944444437</v>
      </c>
      <c r="D583">
        <v>3</v>
      </c>
      <c r="E583">
        <v>7</v>
      </c>
      <c r="G583">
        <v>0</v>
      </c>
      <c r="H583">
        <v>802</v>
      </c>
      <c r="I583" t="s">
        <v>46</v>
      </c>
      <c r="J583">
        <v>432</v>
      </c>
      <c r="K583">
        <v>0</v>
      </c>
      <c r="L583">
        <v>18.600000000000001</v>
      </c>
      <c r="M583" t="s">
        <v>13</v>
      </c>
      <c r="N583">
        <v>20</v>
      </c>
      <c r="O583">
        <v>3.8860000000000001</v>
      </c>
      <c r="P583">
        <v>126.387</v>
      </c>
      <c r="Q583" t="s">
        <v>581</v>
      </c>
      <c r="S583" t="s">
        <v>77</v>
      </c>
      <c r="U583" t="str">
        <f t="shared" si="27"/>
        <v>N km direction of city</v>
      </c>
      <c r="V583" t="str">
        <f t="shared" si="28"/>
        <v>mwc</v>
      </c>
      <c r="X583">
        <f t="shared" si="29"/>
        <v>2009</v>
      </c>
    </row>
    <row r="584" spans="1:24">
      <c r="A584" t="s">
        <v>997</v>
      </c>
      <c r="B584">
        <v>7.4</v>
      </c>
      <c r="C584" s="1">
        <v>39816.939583333333</v>
      </c>
      <c r="D584">
        <v>7</v>
      </c>
      <c r="E584">
        <v>7</v>
      </c>
      <c r="G584">
        <v>0</v>
      </c>
      <c r="H584">
        <v>846</v>
      </c>
      <c r="I584" t="s">
        <v>46</v>
      </c>
      <c r="J584">
        <v>314</v>
      </c>
      <c r="K584">
        <v>0</v>
      </c>
      <c r="L584">
        <v>21.1</v>
      </c>
      <c r="M584" t="s">
        <v>13</v>
      </c>
      <c r="N584">
        <v>23</v>
      </c>
      <c r="O584">
        <v>-0.69099999999999995</v>
      </c>
      <c r="P584">
        <v>133.30500000000001</v>
      </c>
      <c r="Q584" t="s">
        <v>827</v>
      </c>
      <c r="S584" t="s">
        <v>77</v>
      </c>
      <c r="U584" t="str">
        <f t="shared" si="27"/>
        <v>N km direction of city</v>
      </c>
      <c r="V584" t="str">
        <f t="shared" si="28"/>
        <v>mwc</v>
      </c>
      <c r="X584">
        <f t="shared" si="29"/>
        <v>2009</v>
      </c>
    </row>
    <row r="585" spans="1:24">
      <c r="A585" t="s">
        <v>998</v>
      </c>
      <c r="B585">
        <v>6.6</v>
      </c>
      <c r="C585" s="1">
        <v>39816.849305555559</v>
      </c>
      <c r="D585">
        <v>5</v>
      </c>
      <c r="E585">
        <v>4</v>
      </c>
      <c r="G585">
        <v>0</v>
      </c>
      <c r="H585">
        <v>765</v>
      </c>
      <c r="I585" t="s">
        <v>46</v>
      </c>
      <c r="J585">
        <v>344</v>
      </c>
      <c r="K585">
        <v>0</v>
      </c>
      <c r="L585">
        <v>22.6</v>
      </c>
      <c r="M585" t="s">
        <v>13</v>
      </c>
      <c r="N585">
        <v>204.8</v>
      </c>
      <c r="O585">
        <v>36.418999999999997</v>
      </c>
      <c r="P585">
        <v>70.742999999999995</v>
      </c>
      <c r="Q585" t="s">
        <v>93</v>
      </c>
      <c r="R585" t="s">
        <v>85</v>
      </c>
      <c r="S585" t="s">
        <v>94</v>
      </c>
      <c r="U585" t="str">
        <f t="shared" si="27"/>
        <v>N km direction of city</v>
      </c>
      <c r="V585" t="str">
        <f t="shared" si="28"/>
        <v>mwc</v>
      </c>
      <c r="X585">
        <f t="shared" si="29"/>
        <v>2009</v>
      </c>
    </row>
    <row r="586" spans="1:24">
      <c r="A586" t="s">
        <v>999</v>
      </c>
      <c r="B586">
        <v>7.7</v>
      </c>
      <c r="C586" s="1">
        <v>39816.821527777778</v>
      </c>
      <c r="D586">
        <v>5</v>
      </c>
      <c r="E586">
        <v>7</v>
      </c>
      <c r="G586">
        <v>0</v>
      </c>
      <c r="H586">
        <v>918</v>
      </c>
      <c r="I586" t="s">
        <v>46</v>
      </c>
      <c r="J586">
        <v>288</v>
      </c>
      <c r="K586">
        <v>0</v>
      </c>
      <c r="L586">
        <v>29.8</v>
      </c>
      <c r="M586" t="s">
        <v>13</v>
      </c>
      <c r="N586">
        <v>17</v>
      </c>
      <c r="O586">
        <v>-0.41399999999999998</v>
      </c>
      <c r="P586">
        <v>132.88499999999999</v>
      </c>
      <c r="Q586" t="s">
        <v>827</v>
      </c>
      <c r="S586" t="s">
        <v>77</v>
      </c>
      <c r="U586" t="str">
        <f t="shared" si="27"/>
        <v>N km direction of city</v>
      </c>
      <c r="V586" t="str">
        <f t="shared" si="28"/>
        <v>mwc</v>
      </c>
      <c r="X586">
        <f t="shared" si="29"/>
        <v>2009</v>
      </c>
    </row>
    <row r="587" spans="1:24">
      <c r="A587" t="s">
        <v>1000</v>
      </c>
      <c r="B587">
        <v>7.4</v>
      </c>
      <c r="C587" s="1">
        <v>39768.709722222222</v>
      </c>
      <c r="D587">
        <v>9</v>
      </c>
      <c r="E587">
        <v>7</v>
      </c>
      <c r="G587">
        <v>0</v>
      </c>
      <c r="H587">
        <v>848</v>
      </c>
      <c r="I587" t="s">
        <v>46</v>
      </c>
      <c r="J587">
        <v>365</v>
      </c>
      <c r="K587">
        <v>0</v>
      </c>
      <c r="L587">
        <v>33.700000000000003</v>
      </c>
      <c r="M587" t="s">
        <v>14</v>
      </c>
      <c r="N587">
        <v>30</v>
      </c>
      <c r="O587">
        <v>1.2709999999999999</v>
      </c>
      <c r="P587">
        <v>122.09099999999999</v>
      </c>
      <c r="Q587" t="s">
        <v>1001</v>
      </c>
      <c r="S587" t="s">
        <v>77</v>
      </c>
      <c r="U587" t="str">
        <f t="shared" si="27"/>
        <v>N km direction of city</v>
      </c>
      <c r="V587" t="str">
        <f t="shared" si="28"/>
        <v>mww</v>
      </c>
      <c r="X587">
        <f t="shared" si="29"/>
        <v>2008</v>
      </c>
    </row>
    <row r="588" spans="1:24">
      <c r="A588" t="s">
        <v>1002</v>
      </c>
      <c r="B588">
        <v>6.7</v>
      </c>
      <c r="C588" s="1">
        <v>39737.820138888892</v>
      </c>
      <c r="D588">
        <v>5</v>
      </c>
      <c r="E588">
        <v>6</v>
      </c>
      <c r="G588">
        <v>0</v>
      </c>
      <c r="H588">
        <v>731</v>
      </c>
      <c r="I588" t="s">
        <v>46</v>
      </c>
      <c r="J588">
        <v>481</v>
      </c>
      <c r="K588">
        <v>0</v>
      </c>
      <c r="L588">
        <v>28.6</v>
      </c>
      <c r="M588" t="s">
        <v>13</v>
      </c>
      <c r="N588">
        <v>24</v>
      </c>
      <c r="O588">
        <v>14.423</v>
      </c>
      <c r="P588">
        <v>-92.364000000000004</v>
      </c>
      <c r="Q588" t="s">
        <v>1003</v>
      </c>
      <c r="S588" t="s">
        <v>140</v>
      </c>
      <c r="U588" t="str">
        <f t="shared" si="27"/>
        <v>N km direction of city</v>
      </c>
      <c r="V588" t="str">
        <f t="shared" si="28"/>
        <v>mwc</v>
      </c>
      <c r="X588">
        <f t="shared" si="29"/>
        <v>2008</v>
      </c>
    </row>
    <row r="589" spans="1:24">
      <c r="A589" t="s">
        <v>1004</v>
      </c>
      <c r="B589">
        <v>6.7</v>
      </c>
      <c r="C589" s="1">
        <v>39726.661111111112</v>
      </c>
      <c r="D589">
        <v>0</v>
      </c>
      <c r="E589">
        <v>6</v>
      </c>
      <c r="G589">
        <v>0</v>
      </c>
      <c r="H589">
        <v>691</v>
      </c>
      <c r="I589" t="s">
        <v>46</v>
      </c>
      <c r="J589">
        <v>529</v>
      </c>
      <c r="K589">
        <v>0</v>
      </c>
      <c r="L589">
        <v>22.3</v>
      </c>
      <c r="M589" t="s">
        <v>13</v>
      </c>
      <c r="N589">
        <v>27.4</v>
      </c>
      <c r="O589">
        <v>39.533000000000001</v>
      </c>
      <c r="P589">
        <v>73.823999999999998</v>
      </c>
      <c r="Q589" t="s">
        <v>1005</v>
      </c>
      <c r="R589" t="s">
        <v>85</v>
      </c>
      <c r="S589" t="s">
        <v>1006</v>
      </c>
      <c r="U589" t="str">
        <f t="shared" si="27"/>
        <v>N km direction of city</v>
      </c>
      <c r="V589" t="str">
        <f t="shared" si="28"/>
        <v>mwc</v>
      </c>
      <c r="X589">
        <f t="shared" si="29"/>
        <v>2008</v>
      </c>
    </row>
    <row r="590" spans="1:24">
      <c r="A590" t="s">
        <v>1007</v>
      </c>
      <c r="B590">
        <v>6.8</v>
      </c>
      <c r="C590" s="1">
        <v>39702.013888888891</v>
      </c>
      <c r="D590">
        <v>0</v>
      </c>
      <c r="E590">
        <v>6</v>
      </c>
      <c r="G590">
        <v>0</v>
      </c>
      <c r="H590">
        <v>711</v>
      </c>
      <c r="I590" t="s">
        <v>46</v>
      </c>
      <c r="J590">
        <v>500</v>
      </c>
      <c r="K590">
        <v>0</v>
      </c>
      <c r="L590">
        <v>22.2</v>
      </c>
      <c r="M590" t="s">
        <v>13</v>
      </c>
      <c r="N590">
        <v>25</v>
      </c>
      <c r="O590">
        <v>41.892000000000003</v>
      </c>
      <c r="P590">
        <v>143.75399999999999</v>
      </c>
      <c r="Q590" t="s">
        <v>796</v>
      </c>
      <c r="U590" t="str">
        <f t="shared" si="27"/>
        <v>N km direction of city</v>
      </c>
      <c r="V590" t="str">
        <f t="shared" si="28"/>
        <v>mwc</v>
      </c>
      <c r="X590">
        <f t="shared" si="29"/>
        <v>2008</v>
      </c>
    </row>
    <row r="591" spans="1:24">
      <c r="A591" t="s">
        <v>1008</v>
      </c>
      <c r="B591">
        <v>6.6</v>
      </c>
      <c r="C591" s="1">
        <v>39702</v>
      </c>
      <c r="D591">
        <v>0</v>
      </c>
      <c r="E591">
        <v>6</v>
      </c>
      <c r="G591">
        <v>0</v>
      </c>
      <c r="H591">
        <v>670</v>
      </c>
      <c r="I591" t="s">
        <v>46</v>
      </c>
      <c r="J591">
        <v>463</v>
      </c>
      <c r="K591">
        <v>0</v>
      </c>
      <c r="L591">
        <v>14.1</v>
      </c>
      <c r="M591" t="s">
        <v>13</v>
      </c>
      <c r="N591">
        <v>96</v>
      </c>
      <c r="O591">
        <v>1.885</v>
      </c>
      <c r="P591">
        <v>127.363</v>
      </c>
      <c r="Q591" t="s">
        <v>116</v>
      </c>
      <c r="S591" t="s">
        <v>77</v>
      </c>
      <c r="U591" t="str">
        <f t="shared" si="27"/>
        <v>N km direction of city</v>
      </c>
      <c r="V591" t="str">
        <f t="shared" si="28"/>
        <v>mwc</v>
      </c>
      <c r="X591">
        <f t="shared" si="29"/>
        <v>2008</v>
      </c>
    </row>
    <row r="592" spans="1:24">
      <c r="A592" t="s">
        <v>1009</v>
      </c>
      <c r="B592">
        <v>6.9</v>
      </c>
      <c r="C592" s="1">
        <v>39699.786111111112</v>
      </c>
      <c r="D592">
        <v>0</v>
      </c>
      <c r="E592">
        <v>6</v>
      </c>
      <c r="G592">
        <v>0</v>
      </c>
      <c r="H592">
        <v>732</v>
      </c>
      <c r="I592" t="s">
        <v>46</v>
      </c>
      <c r="J592">
        <v>531</v>
      </c>
      <c r="K592">
        <v>0</v>
      </c>
      <c r="L592">
        <v>14.9</v>
      </c>
      <c r="M592" t="s">
        <v>13</v>
      </c>
      <c r="N592">
        <v>110</v>
      </c>
      <c r="O592">
        <v>-13.500999999999999</v>
      </c>
      <c r="P592">
        <v>166.96700000000001</v>
      </c>
      <c r="Q592" t="s">
        <v>47</v>
      </c>
      <c r="S592" t="s">
        <v>48</v>
      </c>
      <c r="U592" t="str">
        <f t="shared" si="27"/>
        <v>N km direction of city</v>
      </c>
      <c r="V592" t="str">
        <f t="shared" si="28"/>
        <v>mwc</v>
      </c>
      <c r="X592">
        <f t="shared" si="29"/>
        <v>2008</v>
      </c>
    </row>
    <row r="593" spans="1:24">
      <c r="A593" t="s">
        <v>1010</v>
      </c>
      <c r="B593">
        <v>6.7</v>
      </c>
      <c r="C593" s="1">
        <v>39685.556250000001</v>
      </c>
      <c r="D593">
        <v>4</v>
      </c>
      <c r="E593">
        <v>7</v>
      </c>
      <c r="G593">
        <v>0</v>
      </c>
      <c r="H593">
        <v>692</v>
      </c>
      <c r="I593" t="s">
        <v>46</v>
      </c>
      <c r="J593">
        <v>325</v>
      </c>
      <c r="K593">
        <v>0</v>
      </c>
      <c r="L593">
        <v>28</v>
      </c>
      <c r="M593" t="s">
        <v>13</v>
      </c>
      <c r="N593">
        <v>12</v>
      </c>
      <c r="O593">
        <v>30.901</v>
      </c>
      <c r="P593">
        <v>83.52</v>
      </c>
      <c r="Q593" t="s">
        <v>1011</v>
      </c>
      <c r="R593" t="s">
        <v>85</v>
      </c>
      <c r="S593" t="s">
        <v>153</v>
      </c>
      <c r="U593" t="str">
        <f t="shared" si="27"/>
        <v>N km direction of city</v>
      </c>
      <c r="V593" t="str">
        <f t="shared" si="28"/>
        <v>mwc</v>
      </c>
      <c r="X593">
        <f t="shared" si="29"/>
        <v>2008</v>
      </c>
    </row>
    <row r="594" spans="1:24">
      <c r="A594" t="s">
        <v>1012</v>
      </c>
      <c r="B594">
        <v>6.8</v>
      </c>
      <c r="C594" s="1">
        <v>39652.643055555563</v>
      </c>
      <c r="D594">
        <v>8</v>
      </c>
      <c r="E594">
        <v>7</v>
      </c>
      <c r="G594">
        <v>0</v>
      </c>
      <c r="H594">
        <v>1046</v>
      </c>
      <c r="I594" t="s">
        <v>46</v>
      </c>
      <c r="J594">
        <v>633</v>
      </c>
      <c r="K594">
        <v>0</v>
      </c>
      <c r="L594">
        <v>20.2</v>
      </c>
      <c r="M594" t="s">
        <v>13</v>
      </c>
      <c r="N594">
        <v>108</v>
      </c>
      <c r="O594">
        <v>39.802</v>
      </c>
      <c r="P594">
        <v>141.464</v>
      </c>
      <c r="Q594" t="s">
        <v>1013</v>
      </c>
      <c r="R594" t="s">
        <v>85</v>
      </c>
      <c r="S594" t="s">
        <v>243</v>
      </c>
      <c r="U594" t="str">
        <f t="shared" si="27"/>
        <v>N km direction of city</v>
      </c>
      <c r="V594" t="str">
        <f t="shared" si="28"/>
        <v>mwc</v>
      </c>
      <c r="X594">
        <f t="shared" si="29"/>
        <v>2008</v>
      </c>
    </row>
    <row r="595" spans="1:24">
      <c r="A595" t="s">
        <v>1014</v>
      </c>
      <c r="B595">
        <v>7</v>
      </c>
      <c r="C595" s="1">
        <v>39648.11041666667</v>
      </c>
      <c r="D595">
        <v>5</v>
      </c>
      <c r="E595">
        <v>5</v>
      </c>
      <c r="G595">
        <v>0</v>
      </c>
      <c r="H595">
        <v>840</v>
      </c>
      <c r="I595" t="s">
        <v>46</v>
      </c>
      <c r="J595">
        <v>577</v>
      </c>
      <c r="K595">
        <v>0</v>
      </c>
      <c r="L595">
        <v>18.2</v>
      </c>
      <c r="M595" t="s">
        <v>13</v>
      </c>
      <c r="N595">
        <v>22</v>
      </c>
      <c r="O595">
        <v>37.552</v>
      </c>
      <c r="P595">
        <v>142.214</v>
      </c>
      <c r="Q595" t="s">
        <v>175</v>
      </c>
      <c r="U595" t="str">
        <f t="shared" si="27"/>
        <v>N km direction of city</v>
      </c>
      <c r="V595" t="str">
        <f t="shared" si="28"/>
        <v>mwc</v>
      </c>
      <c r="X595">
        <f t="shared" si="29"/>
        <v>2008</v>
      </c>
    </row>
    <row r="596" spans="1:24">
      <c r="A596" t="s">
        <v>1015</v>
      </c>
      <c r="B596">
        <v>6.9</v>
      </c>
      <c r="C596" s="1">
        <v>39648.11041666667</v>
      </c>
      <c r="D596">
        <v>5</v>
      </c>
      <c r="E596">
        <v>5</v>
      </c>
      <c r="G596">
        <v>0</v>
      </c>
      <c r="H596">
        <v>825</v>
      </c>
      <c r="I596" t="s">
        <v>1016</v>
      </c>
      <c r="J596">
        <v>0</v>
      </c>
      <c r="K596">
        <v>0</v>
      </c>
      <c r="L596">
        <v>0</v>
      </c>
      <c r="M596" t="s">
        <v>14</v>
      </c>
      <c r="N596">
        <v>25.5</v>
      </c>
      <c r="O596">
        <v>37.549999999999997</v>
      </c>
      <c r="P596">
        <v>142.714</v>
      </c>
      <c r="Q596" t="s">
        <v>175</v>
      </c>
      <c r="U596" t="str">
        <f t="shared" si="27"/>
        <v>N km direction of city</v>
      </c>
      <c r="V596" t="str">
        <f t="shared" si="28"/>
        <v>mww</v>
      </c>
      <c r="X596">
        <f t="shared" si="29"/>
        <v>2008</v>
      </c>
    </row>
    <row r="597" spans="1:24">
      <c r="A597" t="s">
        <v>1017</v>
      </c>
      <c r="B597">
        <v>6.6</v>
      </c>
      <c r="C597" s="1">
        <v>39626.486111111109</v>
      </c>
      <c r="D597">
        <v>4</v>
      </c>
      <c r="E597">
        <v>5</v>
      </c>
      <c r="G597">
        <v>0</v>
      </c>
      <c r="H597">
        <v>680</v>
      </c>
      <c r="I597" t="s">
        <v>46</v>
      </c>
      <c r="J597">
        <v>630</v>
      </c>
      <c r="K597">
        <v>0</v>
      </c>
      <c r="L597">
        <v>18.399999999999999</v>
      </c>
      <c r="M597" t="s">
        <v>13</v>
      </c>
      <c r="N597">
        <v>17</v>
      </c>
      <c r="O597">
        <v>11.005000000000001</v>
      </c>
      <c r="P597">
        <v>91.823999999999998</v>
      </c>
      <c r="Q597" t="s">
        <v>941</v>
      </c>
      <c r="U597" t="str">
        <f t="shared" si="27"/>
        <v>N km direction of city</v>
      </c>
      <c r="V597" t="str">
        <f t="shared" si="28"/>
        <v>mwc</v>
      </c>
      <c r="X597">
        <f t="shared" si="29"/>
        <v>2008</v>
      </c>
    </row>
    <row r="598" spans="1:24">
      <c r="A598" t="s">
        <v>1018</v>
      </c>
      <c r="B598">
        <v>6.9</v>
      </c>
      <c r="C598" s="1">
        <v>39612.988194444442</v>
      </c>
      <c r="D598">
        <v>7</v>
      </c>
      <c r="E598">
        <v>8</v>
      </c>
      <c r="G598">
        <v>0</v>
      </c>
      <c r="H598">
        <v>888</v>
      </c>
      <c r="I598" t="s">
        <v>46</v>
      </c>
      <c r="J598">
        <v>654</v>
      </c>
      <c r="K598">
        <v>0</v>
      </c>
      <c r="L598">
        <v>17.100000000000001</v>
      </c>
      <c r="M598" t="s">
        <v>13</v>
      </c>
      <c r="N598">
        <v>7.8</v>
      </c>
      <c r="O598">
        <v>39.03</v>
      </c>
      <c r="P598">
        <v>140.881</v>
      </c>
      <c r="Q598" t="s">
        <v>1019</v>
      </c>
      <c r="R598" t="s">
        <v>85</v>
      </c>
      <c r="S598" t="s">
        <v>243</v>
      </c>
      <c r="U598" t="str">
        <f t="shared" si="27"/>
        <v>N km direction of city</v>
      </c>
      <c r="V598" t="str">
        <f t="shared" si="28"/>
        <v>mwc</v>
      </c>
      <c r="X598">
        <f t="shared" si="29"/>
        <v>2008</v>
      </c>
    </row>
    <row r="599" spans="1:24">
      <c r="A599" t="s">
        <v>1020</v>
      </c>
      <c r="B599">
        <v>7.9</v>
      </c>
      <c r="C599" s="1">
        <v>39580.269444444442</v>
      </c>
      <c r="D599">
        <v>9</v>
      </c>
      <c r="E599">
        <v>9</v>
      </c>
      <c r="G599">
        <v>0</v>
      </c>
      <c r="H599">
        <v>1870</v>
      </c>
      <c r="I599" t="s">
        <v>46</v>
      </c>
      <c r="J599">
        <v>774</v>
      </c>
      <c r="K599">
        <v>0</v>
      </c>
      <c r="L599">
        <v>11.3</v>
      </c>
      <c r="M599" t="s">
        <v>13</v>
      </c>
      <c r="N599">
        <v>19</v>
      </c>
      <c r="O599">
        <v>31.001999999999999</v>
      </c>
      <c r="P599">
        <v>103.322</v>
      </c>
      <c r="Q599" t="s">
        <v>1021</v>
      </c>
      <c r="R599" t="s">
        <v>85</v>
      </c>
      <c r="S599" t="s">
        <v>153</v>
      </c>
      <c r="U599" t="str">
        <f t="shared" si="27"/>
        <v>N km direction of city</v>
      </c>
      <c r="V599" t="str">
        <f t="shared" si="28"/>
        <v>mwc</v>
      </c>
      <c r="X599">
        <f t="shared" si="29"/>
        <v>2008</v>
      </c>
    </row>
    <row r="600" spans="1:24">
      <c r="A600" t="s">
        <v>1022</v>
      </c>
      <c r="B600">
        <v>6.9</v>
      </c>
      <c r="C600" s="1">
        <v>39575.697916666657</v>
      </c>
      <c r="D600">
        <v>5</v>
      </c>
      <c r="E600">
        <v>5</v>
      </c>
      <c r="G600">
        <v>0</v>
      </c>
      <c r="H600">
        <v>910</v>
      </c>
      <c r="I600" t="s">
        <v>46</v>
      </c>
      <c r="J600">
        <v>519</v>
      </c>
      <c r="K600">
        <v>0</v>
      </c>
      <c r="L600">
        <v>21.1</v>
      </c>
      <c r="M600" t="s">
        <v>13</v>
      </c>
      <c r="N600">
        <v>27</v>
      </c>
      <c r="O600">
        <v>36.164000000000001</v>
      </c>
      <c r="P600">
        <v>141.52600000000001</v>
      </c>
      <c r="Q600" t="s">
        <v>887</v>
      </c>
      <c r="U600" t="str">
        <f t="shared" si="27"/>
        <v>N km direction of city</v>
      </c>
      <c r="V600" t="str">
        <f t="shared" si="28"/>
        <v>mwc</v>
      </c>
      <c r="X600">
        <f t="shared" si="29"/>
        <v>2008</v>
      </c>
    </row>
    <row r="601" spans="1:24">
      <c r="A601" t="s">
        <v>1023</v>
      </c>
      <c r="B601">
        <v>7.3</v>
      </c>
      <c r="C601" s="1">
        <v>39547.531944444447</v>
      </c>
      <c r="D601">
        <v>0</v>
      </c>
      <c r="E601">
        <v>6</v>
      </c>
      <c r="G601">
        <v>0</v>
      </c>
      <c r="H601">
        <v>820</v>
      </c>
      <c r="I601" t="s">
        <v>46</v>
      </c>
      <c r="J601">
        <v>486</v>
      </c>
      <c r="K601">
        <v>0</v>
      </c>
      <c r="L601">
        <v>13.4</v>
      </c>
      <c r="M601" t="s">
        <v>13</v>
      </c>
      <c r="N601">
        <v>33</v>
      </c>
      <c r="O601">
        <v>-20.071000000000002</v>
      </c>
      <c r="P601">
        <v>168.892</v>
      </c>
      <c r="Q601" t="s">
        <v>148</v>
      </c>
      <c r="U601" t="str">
        <f t="shared" si="27"/>
        <v>N km direction of city</v>
      </c>
      <c r="V601" t="str">
        <f t="shared" si="28"/>
        <v>mwc</v>
      </c>
      <c r="X601">
        <f t="shared" si="29"/>
        <v>2008</v>
      </c>
    </row>
    <row r="602" spans="1:24">
      <c r="A602" t="s">
        <v>1024</v>
      </c>
      <c r="B602">
        <v>7.2</v>
      </c>
      <c r="C602" s="1">
        <v>39527.938888888893</v>
      </c>
      <c r="D602">
        <v>0</v>
      </c>
      <c r="E602">
        <v>7</v>
      </c>
      <c r="G602">
        <v>0</v>
      </c>
      <c r="H602">
        <v>798</v>
      </c>
      <c r="I602" t="s">
        <v>46</v>
      </c>
      <c r="J602">
        <v>532</v>
      </c>
      <c r="K602">
        <v>0</v>
      </c>
      <c r="L602">
        <v>25.9</v>
      </c>
      <c r="M602" t="s">
        <v>13</v>
      </c>
      <c r="N602">
        <v>10</v>
      </c>
      <c r="O602">
        <v>35.49</v>
      </c>
      <c r="P602">
        <v>81.466999999999999</v>
      </c>
      <c r="Q602" t="s">
        <v>723</v>
      </c>
      <c r="R602" t="s">
        <v>85</v>
      </c>
      <c r="S602" t="s">
        <v>153</v>
      </c>
      <c r="U602" t="str">
        <f t="shared" si="27"/>
        <v>N km direction of city</v>
      </c>
      <c r="V602" t="str">
        <f t="shared" si="28"/>
        <v>mwc</v>
      </c>
      <c r="X602">
        <f t="shared" si="29"/>
        <v>2008</v>
      </c>
    </row>
    <row r="603" spans="1:24">
      <c r="A603" t="s">
        <v>1025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46</v>
      </c>
      <c r="J603">
        <v>544</v>
      </c>
      <c r="K603">
        <v>0</v>
      </c>
      <c r="L603">
        <v>25.9</v>
      </c>
      <c r="M603" t="s">
        <v>13</v>
      </c>
      <c r="N603">
        <v>24</v>
      </c>
      <c r="O603">
        <v>13.351000000000001</v>
      </c>
      <c r="P603">
        <v>125.63</v>
      </c>
      <c r="Q603" t="s">
        <v>1026</v>
      </c>
      <c r="U603" t="str">
        <f t="shared" si="27"/>
        <v>Named-region</v>
      </c>
      <c r="V603" t="str">
        <f t="shared" si="28"/>
        <v>mwc</v>
      </c>
      <c r="X603">
        <f t="shared" si="29"/>
        <v>2008</v>
      </c>
    </row>
    <row r="604" spans="1:24">
      <c r="A604" t="s">
        <v>1027</v>
      </c>
      <c r="B604">
        <v>6.7</v>
      </c>
      <c r="C604" s="1">
        <v>39503.876388888893</v>
      </c>
      <c r="D604">
        <v>5</v>
      </c>
      <c r="E604">
        <v>6</v>
      </c>
      <c r="G604">
        <v>0</v>
      </c>
      <c r="H604">
        <v>696</v>
      </c>
      <c r="I604" t="s">
        <v>46</v>
      </c>
      <c r="J604">
        <v>543</v>
      </c>
      <c r="K604">
        <v>0</v>
      </c>
      <c r="L604">
        <v>15.1</v>
      </c>
      <c r="M604" t="s">
        <v>13</v>
      </c>
      <c r="N604">
        <v>25</v>
      </c>
      <c r="O604">
        <v>-2.2450000000000001</v>
      </c>
      <c r="P604">
        <v>99.808000000000007</v>
      </c>
      <c r="Q604" t="s">
        <v>981</v>
      </c>
      <c r="S604" t="s">
        <v>77</v>
      </c>
      <c r="U604" t="str">
        <f t="shared" si="27"/>
        <v>N km direction of city</v>
      </c>
      <c r="V604" t="str">
        <f t="shared" si="28"/>
        <v>mwc</v>
      </c>
      <c r="X604">
        <f t="shared" si="29"/>
        <v>2008</v>
      </c>
    </row>
    <row r="605" spans="1:24">
      <c r="A605" t="s">
        <v>1028</v>
      </c>
      <c r="B605">
        <v>6.6</v>
      </c>
      <c r="C605" s="1">
        <v>39503.754166666673</v>
      </c>
      <c r="D605">
        <v>4</v>
      </c>
      <c r="E605">
        <v>6</v>
      </c>
      <c r="G605">
        <v>0</v>
      </c>
      <c r="H605">
        <v>674</v>
      </c>
      <c r="I605" t="s">
        <v>46</v>
      </c>
      <c r="J605">
        <v>421</v>
      </c>
      <c r="K605">
        <v>0</v>
      </c>
      <c r="L605">
        <v>17.7</v>
      </c>
      <c r="M605" t="s">
        <v>13</v>
      </c>
      <c r="N605">
        <v>25</v>
      </c>
      <c r="O605">
        <v>-2.3319999999999999</v>
      </c>
      <c r="P605">
        <v>99.891000000000005</v>
      </c>
      <c r="Q605" t="s">
        <v>981</v>
      </c>
      <c r="S605" t="s">
        <v>77</v>
      </c>
      <c r="U605" t="str">
        <f t="shared" si="27"/>
        <v>N km direction of city</v>
      </c>
      <c r="V605" t="str">
        <f t="shared" si="28"/>
        <v>mwc</v>
      </c>
      <c r="X605">
        <f t="shared" si="29"/>
        <v>2008</v>
      </c>
    </row>
    <row r="606" spans="1:24">
      <c r="A606" t="s">
        <v>1029</v>
      </c>
      <c r="B606">
        <v>7.2</v>
      </c>
      <c r="C606" s="1">
        <v>39503.35833333333</v>
      </c>
      <c r="D606">
        <v>4</v>
      </c>
      <c r="E606">
        <v>7</v>
      </c>
      <c r="G606">
        <v>0</v>
      </c>
      <c r="H606">
        <v>832</v>
      </c>
      <c r="I606" t="s">
        <v>46</v>
      </c>
      <c r="J606">
        <v>505</v>
      </c>
      <c r="K606">
        <v>0</v>
      </c>
      <c r="L606">
        <v>18.399999999999999</v>
      </c>
      <c r="M606" t="s">
        <v>13</v>
      </c>
      <c r="N606">
        <v>25</v>
      </c>
      <c r="O606">
        <v>-2.4860000000000002</v>
      </c>
      <c r="P606">
        <v>99.971999999999994</v>
      </c>
      <c r="Q606" t="s">
        <v>552</v>
      </c>
      <c r="S606" t="s">
        <v>77</v>
      </c>
      <c r="U606" t="str">
        <f t="shared" si="27"/>
        <v>N km direction of city</v>
      </c>
      <c r="V606" t="str">
        <f t="shared" si="28"/>
        <v>mwc</v>
      </c>
      <c r="X606">
        <f t="shared" si="29"/>
        <v>2008</v>
      </c>
    </row>
    <row r="607" spans="1:24">
      <c r="A607" t="s">
        <v>1030</v>
      </c>
      <c r="B607">
        <v>6.5</v>
      </c>
      <c r="C607" s="1">
        <v>39502.615277777782</v>
      </c>
      <c r="D607">
        <v>4</v>
      </c>
      <c r="E607">
        <v>6</v>
      </c>
      <c r="G607">
        <v>0</v>
      </c>
      <c r="H607">
        <v>654</v>
      </c>
      <c r="I607" t="s">
        <v>46</v>
      </c>
      <c r="J607">
        <v>429</v>
      </c>
      <c r="K607">
        <v>0</v>
      </c>
      <c r="L607">
        <v>28.3</v>
      </c>
      <c r="M607" t="s">
        <v>13</v>
      </c>
      <c r="N607">
        <v>22</v>
      </c>
      <c r="O607">
        <v>-2.4049999999999998</v>
      </c>
      <c r="P607">
        <v>99.930999999999997</v>
      </c>
      <c r="Q607" t="s">
        <v>552</v>
      </c>
      <c r="S607" t="s">
        <v>77</v>
      </c>
      <c r="U607" t="str">
        <f t="shared" si="27"/>
        <v>N km direction of city</v>
      </c>
      <c r="V607" t="str">
        <f t="shared" si="28"/>
        <v>mwc</v>
      </c>
      <c r="X607">
        <f t="shared" si="29"/>
        <v>2008</v>
      </c>
    </row>
    <row r="608" spans="1:24">
      <c r="A608" t="s">
        <v>1031</v>
      </c>
      <c r="B608">
        <v>7.4</v>
      </c>
      <c r="C608" s="1">
        <v>39498.338888888888</v>
      </c>
      <c r="D608">
        <v>5</v>
      </c>
      <c r="E608">
        <v>7</v>
      </c>
      <c r="G608">
        <v>0</v>
      </c>
      <c r="H608">
        <v>914</v>
      </c>
      <c r="I608" t="s">
        <v>46</v>
      </c>
      <c r="J608">
        <v>607</v>
      </c>
      <c r="K608">
        <v>0</v>
      </c>
      <c r="L608">
        <v>16.399999999999999</v>
      </c>
      <c r="M608" t="s">
        <v>13</v>
      </c>
      <c r="N608">
        <v>26</v>
      </c>
      <c r="O608">
        <v>2.7679999999999998</v>
      </c>
      <c r="P608">
        <v>95.963999999999999</v>
      </c>
      <c r="Q608" t="s">
        <v>240</v>
      </c>
      <c r="S608" t="s">
        <v>77</v>
      </c>
      <c r="U608" t="str">
        <f t="shared" si="27"/>
        <v>N km direction of city</v>
      </c>
      <c r="V608" t="str">
        <f t="shared" si="28"/>
        <v>mwc</v>
      </c>
      <c r="X608">
        <f t="shared" si="29"/>
        <v>2008</v>
      </c>
    </row>
    <row r="609" spans="1:24">
      <c r="A609" t="s">
        <v>1032</v>
      </c>
      <c r="B609">
        <v>6.5</v>
      </c>
      <c r="C609" s="1">
        <v>39492.505555555559</v>
      </c>
      <c r="D609">
        <v>8</v>
      </c>
      <c r="E609">
        <v>5</v>
      </c>
      <c r="G609">
        <v>0</v>
      </c>
      <c r="H609">
        <v>692</v>
      </c>
      <c r="I609" t="s">
        <v>46</v>
      </c>
      <c r="J609">
        <v>650</v>
      </c>
      <c r="K609">
        <v>0</v>
      </c>
      <c r="L609">
        <v>30.7</v>
      </c>
      <c r="M609" t="s">
        <v>13</v>
      </c>
      <c r="N609">
        <v>28</v>
      </c>
      <c r="O609">
        <v>36.344999999999999</v>
      </c>
      <c r="P609">
        <v>21.863</v>
      </c>
      <c r="Q609" t="s">
        <v>1033</v>
      </c>
      <c r="R609" t="s">
        <v>267</v>
      </c>
      <c r="U609" t="str">
        <f t="shared" si="27"/>
        <v>N km direction of city</v>
      </c>
      <c r="V609" t="str">
        <f t="shared" si="28"/>
        <v>mwc</v>
      </c>
      <c r="X609">
        <f t="shared" si="29"/>
        <v>2008</v>
      </c>
    </row>
    <row r="610" spans="1:24">
      <c r="A610" t="s">
        <v>1034</v>
      </c>
      <c r="B610">
        <v>6.9</v>
      </c>
      <c r="C610" s="1">
        <v>39492.42291666667</v>
      </c>
      <c r="D610">
        <v>6</v>
      </c>
      <c r="E610">
        <v>6</v>
      </c>
      <c r="G610">
        <v>0</v>
      </c>
      <c r="H610">
        <v>941</v>
      </c>
      <c r="I610" t="s">
        <v>46</v>
      </c>
      <c r="J610">
        <v>645</v>
      </c>
      <c r="K610">
        <v>0</v>
      </c>
      <c r="L610">
        <v>30.6</v>
      </c>
      <c r="M610" t="s">
        <v>13</v>
      </c>
      <c r="N610">
        <v>29</v>
      </c>
      <c r="O610">
        <v>36.500999999999998</v>
      </c>
      <c r="P610">
        <v>21.67</v>
      </c>
      <c r="Q610" t="s">
        <v>1035</v>
      </c>
      <c r="R610" t="s">
        <v>267</v>
      </c>
      <c r="U610" t="str">
        <f t="shared" si="27"/>
        <v>N km direction of city</v>
      </c>
      <c r="V610" t="str">
        <f t="shared" si="28"/>
        <v>mwc</v>
      </c>
      <c r="X610">
        <f t="shared" si="29"/>
        <v>2008</v>
      </c>
    </row>
    <row r="611" spans="1:24">
      <c r="A611" t="s">
        <v>1036</v>
      </c>
      <c r="B611">
        <v>6.5</v>
      </c>
      <c r="C611" s="1">
        <v>39490.534722222219</v>
      </c>
      <c r="D611">
        <v>7</v>
      </c>
      <c r="E611">
        <v>6</v>
      </c>
      <c r="G611">
        <v>0</v>
      </c>
      <c r="H611">
        <v>723</v>
      </c>
      <c r="I611" t="s">
        <v>46</v>
      </c>
      <c r="J611">
        <v>521</v>
      </c>
      <c r="K611">
        <v>0</v>
      </c>
      <c r="L611">
        <v>27.6</v>
      </c>
      <c r="M611" t="s">
        <v>13</v>
      </c>
      <c r="N611">
        <v>83</v>
      </c>
      <c r="O611">
        <v>16.356999999999999</v>
      </c>
      <c r="P611">
        <v>-94.304000000000002</v>
      </c>
      <c r="Q611" t="s">
        <v>1037</v>
      </c>
      <c r="S611" t="s">
        <v>140</v>
      </c>
      <c r="U611" t="str">
        <f t="shared" si="27"/>
        <v>N km direction of city</v>
      </c>
      <c r="V611" t="str">
        <f t="shared" si="28"/>
        <v>mwc</v>
      </c>
      <c r="X611">
        <f t="shared" si="29"/>
        <v>2008</v>
      </c>
    </row>
    <row r="612" spans="1:24">
      <c r="A612" t="s">
        <v>1038</v>
      </c>
      <c r="B612">
        <v>6.6</v>
      </c>
      <c r="C612" s="1">
        <v>39436.329861111109</v>
      </c>
      <c r="D612">
        <v>7</v>
      </c>
      <c r="E612">
        <v>6</v>
      </c>
      <c r="G612">
        <v>0</v>
      </c>
      <c r="H612">
        <v>808</v>
      </c>
      <c r="I612" t="s">
        <v>46</v>
      </c>
      <c r="J612">
        <v>461</v>
      </c>
      <c r="K612">
        <v>0</v>
      </c>
      <c r="L612">
        <v>18.8</v>
      </c>
      <c r="M612" t="s">
        <v>13</v>
      </c>
      <c r="N612">
        <v>20</v>
      </c>
      <c r="O612">
        <v>-39.011000000000003</v>
      </c>
      <c r="P612">
        <v>178.291</v>
      </c>
      <c r="Q612" t="s">
        <v>255</v>
      </c>
      <c r="U612" t="str">
        <f t="shared" si="27"/>
        <v>N km direction of city</v>
      </c>
      <c r="V612" t="str">
        <f t="shared" si="28"/>
        <v>mwc</v>
      </c>
      <c r="X612">
        <f t="shared" si="29"/>
        <v>2007</v>
      </c>
    </row>
    <row r="613" spans="1:24">
      <c r="A613" t="s">
        <v>1039</v>
      </c>
      <c r="B613">
        <v>6.7</v>
      </c>
      <c r="C613" s="1">
        <v>39432.339583333327</v>
      </c>
      <c r="D613">
        <v>5</v>
      </c>
      <c r="E613">
        <v>7</v>
      </c>
      <c r="G613">
        <v>0</v>
      </c>
      <c r="H613">
        <v>704</v>
      </c>
      <c r="I613" t="s">
        <v>46</v>
      </c>
      <c r="J613">
        <v>481</v>
      </c>
      <c r="K613">
        <v>0</v>
      </c>
      <c r="L613">
        <v>30.3</v>
      </c>
      <c r="M613" t="s">
        <v>12</v>
      </c>
      <c r="N613">
        <v>45</v>
      </c>
      <c r="O613">
        <v>-22.954000000000001</v>
      </c>
      <c r="P613">
        <v>-70.182000000000002</v>
      </c>
      <c r="Q613" t="s">
        <v>1040</v>
      </c>
      <c r="R613" t="s">
        <v>53</v>
      </c>
      <c r="S613" t="s">
        <v>275</v>
      </c>
      <c r="U613" t="str">
        <f t="shared" si="27"/>
        <v>N km direction of city</v>
      </c>
      <c r="V613" t="str">
        <f t="shared" si="28"/>
        <v>mwb</v>
      </c>
      <c r="X613">
        <f t="shared" si="29"/>
        <v>2007</v>
      </c>
    </row>
    <row r="614" spans="1:24">
      <c r="A614" t="s">
        <v>1041</v>
      </c>
      <c r="B614">
        <v>7.4</v>
      </c>
      <c r="C614" s="1">
        <v>39415.791666666657</v>
      </c>
      <c r="D614">
        <v>7</v>
      </c>
      <c r="E614">
        <v>7</v>
      </c>
      <c r="G614">
        <v>0</v>
      </c>
      <c r="H614">
        <v>1542</v>
      </c>
      <c r="I614" t="s">
        <v>46</v>
      </c>
      <c r="J614">
        <v>663</v>
      </c>
      <c r="K614">
        <v>0</v>
      </c>
      <c r="L614">
        <v>13.4</v>
      </c>
      <c r="M614" t="s">
        <v>12</v>
      </c>
      <c r="N614">
        <v>156</v>
      </c>
      <c r="O614">
        <v>14.944000000000001</v>
      </c>
      <c r="P614">
        <v>-61.274000000000001</v>
      </c>
      <c r="Q614" t="s">
        <v>1042</v>
      </c>
      <c r="S614" t="s">
        <v>1043</v>
      </c>
      <c r="U614" t="str">
        <f t="shared" si="27"/>
        <v>N km direction of city</v>
      </c>
      <c r="V614" t="str">
        <f t="shared" si="28"/>
        <v>mwb</v>
      </c>
      <c r="X614">
        <f t="shared" si="29"/>
        <v>2007</v>
      </c>
    </row>
    <row r="615" spans="1:24">
      <c r="A615" t="s">
        <v>1044</v>
      </c>
      <c r="B615">
        <v>6.6</v>
      </c>
      <c r="C615" s="1">
        <v>39413.492361111108</v>
      </c>
      <c r="D615">
        <v>3</v>
      </c>
      <c r="E615">
        <v>6</v>
      </c>
      <c r="G615">
        <v>0</v>
      </c>
      <c r="H615">
        <v>672</v>
      </c>
      <c r="I615" t="s">
        <v>46</v>
      </c>
      <c r="J615">
        <v>280</v>
      </c>
      <c r="K615">
        <v>0</v>
      </c>
      <c r="L615">
        <v>26.9</v>
      </c>
      <c r="M615" t="s">
        <v>13</v>
      </c>
      <c r="N615">
        <v>16</v>
      </c>
      <c r="O615">
        <v>-10.95</v>
      </c>
      <c r="P615">
        <v>162.149</v>
      </c>
      <c r="Q615" t="s">
        <v>406</v>
      </c>
      <c r="S615" t="s">
        <v>124</v>
      </c>
      <c r="U615" t="str">
        <f t="shared" si="27"/>
        <v>N km direction of city</v>
      </c>
      <c r="V615" t="str">
        <f t="shared" si="28"/>
        <v>mwc</v>
      </c>
      <c r="X615">
        <f t="shared" si="29"/>
        <v>2007</v>
      </c>
    </row>
    <row r="616" spans="1:24">
      <c r="A616" t="s">
        <v>1045</v>
      </c>
      <c r="B616">
        <v>6.5</v>
      </c>
      <c r="C616" s="1">
        <v>39411.828472222223</v>
      </c>
      <c r="D616">
        <v>5</v>
      </c>
      <c r="E616">
        <v>7</v>
      </c>
      <c r="G616">
        <v>0</v>
      </c>
      <c r="H616">
        <v>653</v>
      </c>
      <c r="I616" t="s">
        <v>46</v>
      </c>
      <c r="J616">
        <v>272</v>
      </c>
      <c r="K616">
        <v>0</v>
      </c>
      <c r="L616">
        <v>27.6</v>
      </c>
      <c r="M616" t="s">
        <v>13</v>
      </c>
      <c r="N616">
        <v>18</v>
      </c>
      <c r="O616">
        <v>-8.2240000000000002</v>
      </c>
      <c r="P616">
        <v>118.467</v>
      </c>
      <c r="Q616" t="s">
        <v>1046</v>
      </c>
      <c r="S616" t="s">
        <v>77</v>
      </c>
      <c r="U616" t="str">
        <f t="shared" si="27"/>
        <v>N km direction of city</v>
      </c>
      <c r="V616" t="str">
        <f t="shared" si="28"/>
        <v>mwc</v>
      </c>
      <c r="X616">
        <f t="shared" si="29"/>
        <v>2007</v>
      </c>
    </row>
    <row r="617" spans="1:24">
      <c r="A617" t="s">
        <v>1047</v>
      </c>
      <c r="B617">
        <v>6.5</v>
      </c>
      <c r="C617" s="1">
        <v>39411.668055555558</v>
      </c>
      <c r="D617">
        <v>7</v>
      </c>
      <c r="E617">
        <v>7</v>
      </c>
      <c r="G617">
        <v>0</v>
      </c>
      <c r="H617">
        <v>657</v>
      </c>
      <c r="I617" t="s">
        <v>46</v>
      </c>
      <c r="J617">
        <v>353</v>
      </c>
      <c r="K617">
        <v>0</v>
      </c>
      <c r="L617">
        <v>27.5</v>
      </c>
      <c r="M617" t="s">
        <v>13</v>
      </c>
      <c r="N617">
        <v>20</v>
      </c>
      <c r="O617">
        <v>-8.2919999999999998</v>
      </c>
      <c r="P617">
        <v>118.37</v>
      </c>
      <c r="Q617" t="s">
        <v>1046</v>
      </c>
      <c r="S617" t="s">
        <v>77</v>
      </c>
      <c r="U617" t="str">
        <f t="shared" si="27"/>
        <v>N km direction of city</v>
      </c>
      <c r="V617" t="str">
        <f t="shared" si="28"/>
        <v>mwc</v>
      </c>
      <c r="X617">
        <f t="shared" si="29"/>
        <v>2007</v>
      </c>
    </row>
    <row r="618" spans="1:24">
      <c r="A618" t="s">
        <v>1048</v>
      </c>
      <c r="B618">
        <v>6.8</v>
      </c>
      <c r="C618" s="1">
        <v>39408.366666666669</v>
      </c>
      <c r="D618">
        <v>6</v>
      </c>
      <c r="E618">
        <v>6</v>
      </c>
      <c r="G618">
        <v>0</v>
      </c>
      <c r="H618">
        <v>722</v>
      </c>
      <c r="I618" t="s">
        <v>46</v>
      </c>
      <c r="J618">
        <v>341</v>
      </c>
      <c r="K618">
        <v>0</v>
      </c>
      <c r="L618">
        <v>15.9</v>
      </c>
      <c r="M618" t="s">
        <v>13</v>
      </c>
      <c r="N618">
        <v>53</v>
      </c>
      <c r="O618">
        <v>-5.7569999999999997</v>
      </c>
      <c r="P618">
        <v>147.09800000000001</v>
      </c>
      <c r="Q618" t="s">
        <v>829</v>
      </c>
      <c r="S618" t="s">
        <v>89</v>
      </c>
      <c r="U618" t="str">
        <f t="shared" si="27"/>
        <v>N km direction of city</v>
      </c>
      <c r="V618" t="str">
        <f t="shared" si="28"/>
        <v>mwc</v>
      </c>
      <c r="X618">
        <f t="shared" si="29"/>
        <v>2007</v>
      </c>
    </row>
    <row r="619" spans="1:24">
      <c r="A619" t="s">
        <v>1049</v>
      </c>
      <c r="B619">
        <v>6.8</v>
      </c>
      <c r="C619" s="1">
        <v>39402.134027777778</v>
      </c>
      <c r="D619">
        <v>7</v>
      </c>
      <c r="E619">
        <v>6</v>
      </c>
      <c r="G619">
        <v>0</v>
      </c>
      <c r="H619">
        <v>790</v>
      </c>
      <c r="I619" t="s">
        <v>46</v>
      </c>
      <c r="J619">
        <v>649</v>
      </c>
      <c r="K619">
        <v>0</v>
      </c>
      <c r="L619">
        <v>27</v>
      </c>
      <c r="M619" t="s">
        <v>13</v>
      </c>
      <c r="N619">
        <v>122.9</v>
      </c>
      <c r="O619">
        <v>-2.3119999999999998</v>
      </c>
      <c r="P619">
        <v>-77.837999999999994</v>
      </c>
      <c r="Q619" t="s">
        <v>1050</v>
      </c>
      <c r="R619" t="s">
        <v>53</v>
      </c>
      <c r="S619" t="s">
        <v>96</v>
      </c>
      <c r="U619" t="str">
        <f t="shared" si="27"/>
        <v>N km direction of city</v>
      </c>
      <c r="V619" t="str">
        <f t="shared" si="28"/>
        <v>mwc</v>
      </c>
      <c r="X619">
        <f t="shared" si="29"/>
        <v>2007</v>
      </c>
    </row>
    <row r="620" spans="1:24">
      <c r="A620" t="s">
        <v>1051</v>
      </c>
      <c r="B620">
        <v>6.8</v>
      </c>
      <c r="C620" s="1">
        <v>39401.628472222219</v>
      </c>
      <c r="D620">
        <v>6</v>
      </c>
      <c r="E620">
        <v>7</v>
      </c>
      <c r="G620">
        <v>0</v>
      </c>
      <c r="H620">
        <v>716</v>
      </c>
      <c r="I620" t="s">
        <v>46</v>
      </c>
      <c r="J620">
        <v>285</v>
      </c>
      <c r="K620">
        <v>0</v>
      </c>
      <c r="L620">
        <v>40.1</v>
      </c>
      <c r="M620" t="s">
        <v>13</v>
      </c>
      <c r="N620">
        <v>26</v>
      </c>
      <c r="O620">
        <v>-22.925000000000001</v>
      </c>
      <c r="P620">
        <v>-70.236999999999995</v>
      </c>
      <c r="Q620" t="s">
        <v>1040</v>
      </c>
      <c r="R620" t="s">
        <v>53</v>
      </c>
      <c r="S620" t="s">
        <v>275</v>
      </c>
      <c r="U620" t="str">
        <f t="shared" si="27"/>
        <v>N km direction of city</v>
      </c>
      <c r="V620" t="str">
        <f t="shared" si="28"/>
        <v>mwc</v>
      </c>
      <c r="X620">
        <f t="shared" si="29"/>
        <v>2007</v>
      </c>
    </row>
    <row r="621" spans="1:24">
      <c r="A621" t="s">
        <v>1052</v>
      </c>
      <c r="B621">
        <v>7.7</v>
      </c>
      <c r="C621" s="1">
        <v>39400.652777777781</v>
      </c>
      <c r="D621">
        <v>8</v>
      </c>
      <c r="E621">
        <v>7</v>
      </c>
      <c r="G621">
        <v>0</v>
      </c>
      <c r="H621">
        <v>995</v>
      </c>
      <c r="I621" t="s">
        <v>46</v>
      </c>
      <c r="J621">
        <v>610</v>
      </c>
      <c r="K621">
        <v>0</v>
      </c>
      <c r="L621">
        <v>22.4</v>
      </c>
      <c r="M621" t="s">
        <v>13</v>
      </c>
      <c r="N621">
        <v>40</v>
      </c>
      <c r="O621">
        <v>-22.247</v>
      </c>
      <c r="P621">
        <v>-69.89</v>
      </c>
      <c r="Q621" t="s">
        <v>1053</v>
      </c>
      <c r="R621" t="s">
        <v>53</v>
      </c>
      <c r="S621" t="s">
        <v>275</v>
      </c>
      <c r="U621" t="str">
        <f t="shared" si="27"/>
        <v>N km direction of city</v>
      </c>
      <c r="V621" t="str">
        <f t="shared" si="28"/>
        <v>mwc</v>
      </c>
      <c r="X621">
        <f t="shared" si="29"/>
        <v>2007</v>
      </c>
    </row>
    <row r="622" spans="1:24">
      <c r="A622" t="s">
        <v>1054</v>
      </c>
      <c r="B622">
        <v>6.8</v>
      </c>
      <c r="C622" s="1">
        <v>39379.876388888893</v>
      </c>
      <c r="D622">
        <v>3</v>
      </c>
      <c r="E622">
        <v>5</v>
      </c>
      <c r="G622">
        <v>0</v>
      </c>
      <c r="H622">
        <v>713</v>
      </c>
      <c r="I622" t="s">
        <v>46</v>
      </c>
      <c r="J622">
        <v>494</v>
      </c>
      <c r="K622">
        <v>0</v>
      </c>
      <c r="L622">
        <v>23.9</v>
      </c>
      <c r="M622" t="s">
        <v>13</v>
      </c>
      <c r="N622">
        <v>21</v>
      </c>
      <c r="O622">
        <v>-3.899</v>
      </c>
      <c r="P622">
        <v>101.02</v>
      </c>
      <c r="Q622" t="s">
        <v>126</v>
      </c>
      <c r="S622" t="s">
        <v>77</v>
      </c>
      <c r="U622" t="str">
        <f t="shared" si="27"/>
        <v>N km direction of city</v>
      </c>
      <c r="V622" t="str">
        <f t="shared" si="28"/>
        <v>mwc</v>
      </c>
      <c r="X622">
        <f t="shared" si="29"/>
        <v>2007</v>
      </c>
    </row>
    <row r="623" spans="1:24">
      <c r="A623" t="s">
        <v>1055</v>
      </c>
      <c r="B623">
        <v>6.8</v>
      </c>
      <c r="C623" s="1">
        <v>39370.520138888889</v>
      </c>
      <c r="D623">
        <v>4</v>
      </c>
      <c r="E623">
        <v>7</v>
      </c>
      <c r="G623">
        <v>0</v>
      </c>
      <c r="H623">
        <v>744</v>
      </c>
      <c r="I623" t="s">
        <v>46</v>
      </c>
      <c r="J623">
        <v>338</v>
      </c>
      <c r="K623">
        <v>0</v>
      </c>
      <c r="L623">
        <v>19</v>
      </c>
      <c r="M623" t="s">
        <v>13</v>
      </c>
      <c r="N623">
        <v>18</v>
      </c>
      <c r="O623">
        <v>-44.795999999999999</v>
      </c>
      <c r="P623">
        <v>167.553</v>
      </c>
      <c r="Q623" t="s">
        <v>990</v>
      </c>
      <c r="S623" t="s">
        <v>529</v>
      </c>
      <c r="U623" t="str">
        <f t="shared" si="27"/>
        <v>N km direction of city</v>
      </c>
      <c r="V623" t="str">
        <f t="shared" si="28"/>
        <v>mwc</v>
      </c>
      <c r="X623">
        <f t="shared" si="29"/>
        <v>2007</v>
      </c>
    </row>
    <row r="624" spans="1:24">
      <c r="A624" t="s">
        <v>1056</v>
      </c>
      <c r="B624">
        <v>6.8</v>
      </c>
      <c r="C624" s="1">
        <v>39351.525000000001</v>
      </c>
      <c r="D624">
        <v>4</v>
      </c>
      <c r="E624">
        <v>5</v>
      </c>
      <c r="G624">
        <v>0</v>
      </c>
      <c r="H624">
        <v>713</v>
      </c>
      <c r="I624" t="s">
        <v>46</v>
      </c>
      <c r="J624">
        <v>348</v>
      </c>
      <c r="K624">
        <v>0</v>
      </c>
      <c r="L624">
        <v>15.5</v>
      </c>
      <c r="M624" t="s">
        <v>13</v>
      </c>
      <c r="N624">
        <v>40</v>
      </c>
      <c r="O624">
        <v>-4.99</v>
      </c>
      <c r="P624">
        <v>153.5</v>
      </c>
      <c r="Q624" t="s">
        <v>434</v>
      </c>
      <c r="S624" t="s">
        <v>89</v>
      </c>
      <c r="U624" t="str">
        <f t="shared" si="27"/>
        <v>N km direction of city</v>
      </c>
      <c r="V624" t="str">
        <f t="shared" si="28"/>
        <v>mwc</v>
      </c>
      <c r="X624">
        <f t="shared" si="29"/>
        <v>2007</v>
      </c>
    </row>
    <row r="625" spans="1:24">
      <c r="A625" t="s">
        <v>1057</v>
      </c>
      <c r="B625">
        <v>6.7</v>
      </c>
      <c r="C625" s="1">
        <v>39345.354861111111</v>
      </c>
      <c r="D625">
        <v>3</v>
      </c>
      <c r="E625">
        <v>5</v>
      </c>
      <c r="G625">
        <v>0</v>
      </c>
      <c r="H625">
        <v>696</v>
      </c>
      <c r="I625" t="s">
        <v>46</v>
      </c>
      <c r="J625">
        <v>503</v>
      </c>
      <c r="K625">
        <v>0</v>
      </c>
      <c r="L625">
        <v>26.9</v>
      </c>
      <c r="M625" t="s">
        <v>13</v>
      </c>
      <c r="N625">
        <v>30</v>
      </c>
      <c r="O625">
        <v>-1.9990000000000001</v>
      </c>
      <c r="P625">
        <v>100.14100000000001</v>
      </c>
      <c r="Q625" t="s">
        <v>981</v>
      </c>
      <c r="S625" t="s">
        <v>77</v>
      </c>
      <c r="U625" t="str">
        <f t="shared" si="27"/>
        <v>N km direction of city</v>
      </c>
      <c r="V625" t="str">
        <f t="shared" si="28"/>
        <v>mwc</v>
      </c>
      <c r="X625">
        <f t="shared" si="29"/>
        <v>2007</v>
      </c>
    </row>
    <row r="626" spans="1:24">
      <c r="A626" t="s">
        <v>1058</v>
      </c>
      <c r="B626">
        <v>7</v>
      </c>
      <c r="C626" s="1">
        <v>39338.149305555547</v>
      </c>
      <c r="D626">
        <v>4</v>
      </c>
      <c r="E626">
        <v>7</v>
      </c>
      <c r="G626">
        <v>0</v>
      </c>
      <c r="H626">
        <v>768</v>
      </c>
      <c r="I626" t="s">
        <v>46</v>
      </c>
      <c r="J626">
        <v>537</v>
      </c>
      <c r="K626">
        <v>0</v>
      </c>
      <c r="L626">
        <v>23.1</v>
      </c>
      <c r="M626" t="s">
        <v>13</v>
      </c>
      <c r="N626">
        <v>22</v>
      </c>
      <c r="O626">
        <v>-2.13</v>
      </c>
      <c r="P626">
        <v>99.626999999999995</v>
      </c>
      <c r="Q626" t="s">
        <v>981</v>
      </c>
      <c r="S626" t="s">
        <v>77</v>
      </c>
      <c r="U626" t="str">
        <f t="shared" si="27"/>
        <v>N km direction of city</v>
      </c>
      <c r="V626" t="str">
        <f t="shared" si="28"/>
        <v>mwc</v>
      </c>
      <c r="X626">
        <f t="shared" si="29"/>
        <v>2007</v>
      </c>
    </row>
    <row r="627" spans="1:24">
      <c r="A627" t="s">
        <v>1059</v>
      </c>
      <c r="B627">
        <v>6.5</v>
      </c>
      <c r="C627" s="1">
        <v>39338.104166666657</v>
      </c>
      <c r="D627">
        <v>0</v>
      </c>
      <c r="E627">
        <v>5</v>
      </c>
      <c r="G627">
        <v>0</v>
      </c>
      <c r="H627">
        <v>650</v>
      </c>
      <c r="I627" t="s">
        <v>46</v>
      </c>
      <c r="J627">
        <v>409</v>
      </c>
      <c r="K627">
        <v>0</v>
      </c>
      <c r="L627">
        <v>26.2</v>
      </c>
      <c r="M627" t="s">
        <v>13</v>
      </c>
      <c r="N627">
        <v>28.9</v>
      </c>
      <c r="O627">
        <v>-1.6890000000000001</v>
      </c>
      <c r="P627">
        <v>99.668000000000006</v>
      </c>
      <c r="Q627" t="s">
        <v>1060</v>
      </c>
      <c r="S627" t="s">
        <v>77</v>
      </c>
      <c r="U627" t="str">
        <f t="shared" si="27"/>
        <v>Named-region</v>
      </c>
      <c r="V627" t="str">
        <f t="shared" si="28"/>
        <v>mwc</v>
      </c>
      <c r="X627">
        <f t="shared" si="29"/>
        <v>2007</v>
      </c>
    </row>
    <row r="628" spans="1:24">
      <c r="A628" t="s">
        <v>1061</v>
      </c>
      <c r="B628">
        <v>7.9</v>
      </c>
      <c r="C628" s="1">
        <v>39337.992361111108</v>
      </c>
      <c r="D628">
        <v>8</v>
      </c>
      <c r="E628">
        <v>7</v>
      </c>
      <c r="G628">
        <v>0</v>
      </c>
      <c r="H628">
        <v>1133</v>
      </c>
      <c r="I628" t="s">
        <v>46</v>
      </c>
      <c r="J628">
        <v>446</v>
      </c>
      <c r="K628">
        <v>0</v>
      </c>
      <c r="L628">
        <v>29.1</v>
      </c>
      <c r="M628" t="s">
        <v>13</v>
      </c>
      <c r="N628">
        <v>35</v>
      </c>
      <c r="O628">
        <v>-2.625</v>
      </c>
      <c r="P628">
        <v>100.84099999999999</v>
      </c>
      <c r="Q628" t="s">
        <v>552</v>
      </c>
      <c r="S628" t="s">
        <v>77</v>
      </c>
      <c r="U628" t="str">
        <f t="shared" si="27"/>
        <v>N km direction of city</v>
      </c>
      <c r="V628" t="str">
        <f t="shared" si="28"/>
        <v>mwc</v>
      </c>
      <c r="X628">
        <f t="shared" si="29"/>
        <v>2007</v>
      </c>
    </row>
    <row r="629" spans="1:24">
      <c r="A629" t="s">
        <v>1062</v>
      </c>
      <c r="B629">
        <v>7.8</v>
      </c>
      <c r="C629" s="1">
        <v>39337.992361111108</v>
      </c>
      <c r="D629">
        <v>7</v>
      </c>
      <c r="E629">
        <v>8</v>
      </c>
      <c r="G629">
        <v>0</v>
      </c>
      <c r="H629">
        <v>1152</v>
      </c>
      <c r="I629" t="s">
        <v>1016</v>
      </c>
      <c r="J629">
        <v>0</v>
      </c>
      <c r="K629">
        <v>0</v>
      </c>
      <c r="L629">
        <v>0</v>
      </c>
      <c r="M629" t="s">
        <v>14</v>
      </c>
      <c r="N629">
        <v>40.5</v>
      </c>
      <c r="O629">
        <v>-2.52</v>
      </c>
      <c r="P629">
        <v>100.139</v>
      </c>
      <c r="Q629" t="s">
        <v>552</v>
      </c>
      <c r="R629" t="s">
        <v>85</v>
      </c>
      <c r="S629" t="s">
        <v>77</v>
      </c>
      <c r="U629" t="str">
        <f t="shared" si="27"/>
        <v>N km direction of city</v>
      </c>
      <c r="V629" t="str">
        <f t="shared" si="28"/>
        <v>mww</v>
      </c>
      <c r="X629">
        <f t="shared" si="29"/>
        <v>2007</v>
      </c>
    </row>
    <row r="630" spans="1:24">
      <c r="A630" t="s">
        <v>1063</v>
      </c>
      <c r="B630">
        <v>8.4</v>
      </c>
      <c r="C630" s="1">
        <v>39337.465277777781</v>
      </c>
      <c r="D630">
        <v>0</v>
      </c>
      <c r="E630">
        <v>6</v>
      </c>
      <c r="G630">
        <v>0</v>
      </c>
      <c r="H630">
        <v>1086</v>
      </c>
      <c r="I630" t="s">
        <v>839</v>
      </c>
      <c r="J630">
        <v>411</v>
      </c>
      <c r="K630">
        <v>0</v>
      </c>
      <c r="L630">
        <v>32.299999999999997</v>
      </c>
      <c r="M630" t="s">
        <v>14</v>
      </c>
      <c r="N630">
        <v>34</v>
      </c>
      <c r="O630">
        <v>-4.4379999999999997</v>
      </c>
      <c r="P630">
        <v>101.367</v>
      </c>
      <c r="Q630" t="s">
        <v>126</v>
      </c>
      <c r="S630" t="s">
        <v>77</v>
      </c>
      <c r="U630" t="str">
        <f t="shared" si="27"/>
        <v>N km direction of city</v>
      </c>
      <c r="V630" t="str">
        <f t="shared" si="28"/>
        <v>mww</v>
      </c>
      <c r="X630">
        <f t="shared" si="29"/>
        <v>2007</v>
      </c>
    </row>
    <row r="631" spans="1:24">
      <c r="A631" t="s">
        <v>1064</v>
      </c>
      <c r="B631">
        <v>6.8</v>
      </c>
      <c r="C631" s="1">
        <v>39335.075694444437</v>
      </c>
      <c r="D631">
        <v>5</v>
      </c>
      <c r="E631">
        <v>6</v>
      </c>
      <c r="G631">
        <v>0</v>
      </c>
      <c r="H631">
        <v>747</v>
      </c>
      <c r="I631" t="s">
        <v>46</v>
      </c>
      <c r="J631">
        <v>653</v>
      </c>
      <c r="K631">
        <v>0</v>
      </c>
      <c r="L631">
        <v>17.600000000000001</v>
      </c>
      <c r="M631" t="s">
        <v>13</v>
      </c>
      <c r="N631">
        <v>15</v>
      </c>
      <c r="O631">
        <v>2.9660000000000002</v>
      </c>
      <c r="P631">
        <v>-77.962999999999994</v>
      </c>
      <c r="Q631" t="s">
        <v>1065</v>
      </c>
      <c r="S631" t="s">
        <v>68</v>
      </c>
      <c r="U631" t="str">
        <f t="shared" si="27"/>
        <v>N km direction of city</v>
      </c>
      <c r="V631" t="str">
        <f t="shared" si="28"/>
        <v>mwc</v>
      </c>
      <c r="X631">
        <f t="shared" si="29"/>
        <v>2007</v>
      </c>
    </row>
    <row r="632" spans="1:24">
      <c r="A632" t="s">
        <v>1066</v>
      </c>
      <c r="B632">
        <v>7.2</v>
      </c>
      <c r="C632" s="1">
        <v>39327.045138888891</v>
      </c>
      <c r="D632">
        <v>0</v>
      </c>
      <c r="E632">
        <v>5</v>
      </c>
      <c r="G632">
        <v>0</v>
      </c>
      <c r="H632">
        <v>798</v>
      </c>
      <c r="I632" t="s">
        <v>46</v>
      </c>
      <c r="J632">
        <v>312</v>
      </c>
      <c r="K632">
        <v>0</v>
      </c>
      <c r="L632">
        <v>21.3</v>
      </c>
      <c r="M632" t="s">
        <v>13</v>
      </c>
      <c r="N632">
        <v>35</v>
      </c>
      <c r="O632">
        <v>-11.61</v>
      </c>
      <c r="P632">
        <v>165.762</v>
      </c>
      <c r="Q632" t="s">
        <v>299</v>
      </c>
      <c r="U632" t="str">
        <f t="shared" si="27"/>
        <v>N km direction of city</v>
      </c>
      <c r="V632" t="str">
        <f t="shared" si="28"/>
        <v>mwc</v>
      </c>
      <c r="X632">
        <f t="shared" si="29"/>
        <v>2007</v>
      </c>
    </row>
    <row r="633" spans="1:24">
      <c r="A633" t="s">
        <v>1067</v>
      </c>
      <c r="B633">
        <v>6.5</v>
      </c>
      <c r="C633" s="1">
        <v>39310.36041666667</v>
      </c>
      <c r="D633">
        <v>5</v>
      </c>
      <c r="E633">
        <v>6</v>
      </c>
      <c r="G633">
        <v>0</v>
      </c>
      <c r="H633">
        <v>675</v>
      </c>
      <c r="I633" t="s">
        <v>46</v>
      </c>
      <c r="J633">
        <v>382</v>
      </c>
      <c r="K633">
        <v>0</v>
      </c>
      <c r="L633">
        <v>12.8</v>
      </c>
      <c r="M633" t="s">
        <v>13</v>
      </c>
      <c r="N633">
        <v>15</v>
      </c>
      <c r="O633">
        <v>-9.8339999999999996</v>
      </c>
      <c r="P633">
        <v>159.465</v>
      </c>
      <c r="Q633" t="s">
        <v>122</v>
      </c>
      <c r="U633" t="str">
        <f t="shared" si="27"/>
        <v>N km direction of city</v>
      </c>
      <c r="V633" t="str">
        <f t="shared" si="28"/>
        <v>mwc</v>
      </c>
      <c r="X633">
        <f t="shared" si="29"/>
        <v>2007</v>
      </c>
    </row>
    <row r="634" spans="1:24">
      <c r="A634" t="s">
        <v>1068</v>
      </c>
      <c r="B634">
        <v>8</v>
      </c>
      <c r="C634" s="1">
        <v>39309.986111111109</v>
      </c>
      <c r="D634">
        <v>9</v>
      </c>
      <c r="E634">
        <v>8</v>
      </c>
      <c r="G634">
        <v>0</v>
      </c>
      <c r="H634">
        <v>1385</v>
      </c>
      <c r="I634" t="s">
        <v>46</v>
      </c>
      <c r="J634">
        <v>625</v>
      </c>
      <c r="K634">
        <v>0</v>
      </c>
      <c r="L634">
        <v>25.7</v>
      </c>
      <c r="M634" t="s">
        <v>13</v>
      </c>
      <c r="N634">
        <v>39</v>
      </c>
      <c r="O634">
        <v>-13.385999999999999</v>
      </c>
      <c r="P634">
        <v>-76.602999999999994</v>
      </c>
      <c r="Q634" t="s">
        <v>1069</v>
      </c>
      <c r="S634" t="s">
        <v>164</v>
      </c>
      <c r="U634" t="str">
        <f t="shared" si="27"/>
        <v>N km direction of city</v>
      </c>
      <c r="V634" t="str">
        <f t="shared" si="28"/>
        <v>mwc</v>
      </c>
      <c r="X634">
        <f t="shared" si="29"/>
        <v>2007</v>
      </c>
    </row>
    <row r="635" spans="1:24">
      <c r="A635" t="s">
        <v>1070</v>
      </c>
      <c r="B635">
        <v>7.5</v>
      </c>
      <c r="C635" s="1">
        <v>39302.711805555547</v>
      </c>
      <c r="D635">
        <v>0</v>
      </c>
      <c r="E635">
        <v>5</v>
      </c>
      <c r="G635">
        <v>0</v>
      </c>
      <c r="H635">
        <v>865</v>
      </c>
      <c r="I635" t="s">
        <v>46</v>
      </c>
      <c r="J635">
        <v>228</v>
      </c>
      <c r="K635">
        <v>0</v>
      </c>
      <c r="L635">
        <v>30.7</v>
      </c>
      <c r="M635" t="s">
        <v>13</v>
      </c>
      <c r="N635">
        <v>280</v>
      </c>
      <c r="O635">
        <v>-5.859</v>
      </c>
      <c r="P635">
        <v>107.419</v>
      </c>
      <c r="Q635" t="s">
        <v>1071</v>
      </c>
      <c r="S635" t="s">
        <v>77</v>
      </c>
      <c r="U635" t="str">
        <f t="shared" si="27"/>
        <v>N km direction of city</v>
      </c>
      <c r="V635" t="str">
        <f t="shared" si="28"/>
        <v>mwc</v>
      </c>
      <c r="X635">
        <f t="shared" si="29"/>
        <v>2007</v>
      </c>
    </row>
    <row r="636" spans="1:24">
      <c r="A636" t="s">
        <v>1072</v>
      </c>
      <c r="B636">
        <v>7.2</v>
      </c>
      <c r="C636" s="1">
        <v>39295.713888888888</v>
      </c>
      <c r="D636">
        <v>7</v>
      </c>
      <c r="E636">
        <v>7</v>
      </c>
      <c r="G636">
        <v>0</v>
      </c>
      <c r="H636">
        <v>803</v>
      </c>
      <c r="I636" t="s">
        <v>46</v>
      </c>
      <c r="J636">
        <v>494</v>
      </c>
      <c r="K636">
        <v>0</v>
      </c>
      <c r="L636">
        <v>20.399999999999999</v>
      </c>
      <c r="M636" t="s">
        <v>12</v>
      </c>
      <c r="N636">
        <v>120</v>
      </c>
      <c r="O636">
        <v>-15.595000000000001</v>
      </c>
      <c r="P636">
        <v>167.68</v>
      </c>
      <c r="Q636" t="s">
        <v>1073</v>
      </c>
      <c r="S636" t="s">
        <v>48</v>
      </c>
      <c r="U636" t="str">
        <f t="shared" si="27"/>
        <v>N km direction of city</v>
      </c>
      <c r="V636" t="str">
        <f t="shared" si="28"/>
        <v>mwb</v>
      </c>
      <c r="X636">
        <f t="shared" si="29"/>
        <v>2007</v>
      </c>
    </row>
    <row r="637" spans="1:24">
      <c r="A637" t="s">
        <v>1074</v>
      </c>
      <c r="B637">
        <v>6.9</v>
      </c>
      <c r="C637" s="1">
        <v>39289.236111111109</v>
      </c>
      <c r="D637">
        <v>3</v>
      </c>
      <c r="E637">
        <v>5</v>
      </c>
      <c r="G637">
        <v>0</v>
      </c>
      <c r="H637">
        <v>734</v>
      </c>
      <c r="I637" t="s">
        <v>46</v>
      </c>
      <c r="J637">
        <v>374</v>
      </c>
      <c r="K637">
        <v>0</v>
      </c>
      <c r="L637">
        <v>24.1</v>
      </c>
      <c r="M637" t="s">
        <v>12</v>
      </c>
      <c r="N637">
        <v>25</v>
      </c>
      <c r="O637">
        <v>2.8719999999999999</v>
      </c>
      <c r="P637">
        <v>127.464</v>
      </c>
      <c r="Q637" t="s">
        <v>116</v>
      </c>
      <c r="S637" t="s">
        <v>77</v>
      </c>
      <c r="U637" t="str">
        <f t="shared" si="27"/>
        <v>N km direction of city</v>
      </c>
      <c r="V637" t="str">
        <f t="shared" si="28"/>
        <v>mwb</v>
      </c>
      <c r="X637">
        <f t="shared" si="29"/>
        <v>2007</v>
      </c>
    </row>
    <row r="638" spans="1:24">
      <c r="A638" t="s">
        <v>1075</v>
      </c>
      <c r="B638">
        <v>6.8</v>
      </c>
      <c r="C638" s="1">
        <v>39279.595138888893</v>
      </c>
      <c r="D638">
        <v>5</v>
      </c>
      <c r="E638">
        <v>4</v>
      </c>
      <c r="G638">
        <v>0</v>
      </c>
      <c r="H638">
        <v>779</v>
      </c>
      <c r="I638" t="s">
        <v>46</v>
      </c>
      <c r="J638">
        <v>664</v>
      </c>
      <c r="K638">
        <v>0</v>
      </c>
      <c r="L638">
        <v>18.2</v>
      </c>
      <c r="M638" t="s">
        <v>12</v>
      </c>
      <c r="N638">
        <v>350.4</v>
      </c>
      <c r="O638">
        <v>36.808</v>
      </c>
      <c r="P638">
        <v>134.85</v>
      </c>
      <c r="Q638" t="s">
        <v>1076</v>
      </c>
      <c r="U638" t="str">
        <f t="shared" si="27"/>
        <v>N km direction of city</v>
      </c>
      <c r="V638" t="str">
        <f t="shared" si="28"/>
        <v>mwb</v>
      </c>
      <c r="X638">
        <f t="shared" si="29"/>
        <v>2007</v>
      </c>
    </row>
    <row r="639" spans="1:24">
      <c r="A639" t="s">
        <v>1077</v>
      </c>
      <c r="B639">
        <v>6.6</v>
      </c>
      <c r="C639" s="1">
        <v>39279.050694444442</v>
      </c>
      <c r="D639">
        <v>8</v>
      </c>
      <c r="E639">
        <v>8</v>
      </c>
      <c r="G639">
        <v>0</v>
      </c>
      <c r="H639">
        <v>831</v>
      </c>
      <c r="I639" t="s">
        <v>46</v>
      </c>
      <c r="J639">
        <v>782</v>
      </c>
      <c r="K639">
        <v>0</v>
      </c>
      <c r="L639">
        <v>16.7</v>
      </c>
      <c r="M639" t="s">
        <v>13</v>
      </c>
      <c r="N639">
        <v>12</v>
      </c>
      <c r="O639">
        <v>37.534999999999997</v>
      </c>
      <c r="P639">
        <v>138.446</v>
      </c>
      <c r="Q639" t="s">
        <v>1078</v>
      </c>
      <c r="R639" t="s">
        <v>85</v>
      </c>
      <c r="S639" t="s">
        <v>243</v>
      </c>
      <c r="U639" t="str">
        <f t="shared" si="27"/>
        <v>N km direction of city</v>
      </c>
      <c r="V639" t="str">
        <f t="shared" si="28"/>
        <v>mwc</v>
      </c>
      <c r="X639">
        <f t="shared" si="29"/>
        <v>2007</v>
      </c>
    </row>
    <row r="640" spans="1:24">
      <c r="A640" t="s">
        <v>1079</v>
      </c>
      <c r="B640">
        <v>6.7</v>
      </c>
      <c r="C640" s="1">
        <v>39246.811805555553</v>
      </c>
      <c r="D640">
        <v>6</v>
      </c>
      <c r="E640">
        <v>6</v>
      </c>
      <c r="G640">
        <v>0</v>
      </c>
      <c r="H640">
        <v>972</v>
      </c>
      <c r="I640" t="s">
        <v>46</v>
      </c>
      <c r="J640">
        <v>468</v>
      </c>
      <c r="K640">
        <v>0</v>
      </c>
      <c r="L640">
        <v>37.700000000000003</v>
      </c>
      <c r="M640" t="s">
        <v>13</v>
      </c>
      <c r="N640">
        <v>23</v>
      </c>
      <c r="O640">
        <v>13.554</v>
      </c>
      <c r="P640">
        <v>-90.617999999999995</v>
      </c>
      <c r="Q640" t="s">
        <v>1080</v>
      </c>
      <c r="U640" t="str">
        <f t="shared" si="27"/>
        <v>N km direction of city</v>
      </c>
      <c r="V640" t="str">
        <f t="shared" si="28"/>
        <v>mwc</v>
      </c>
      <c r="X640">
        <f t="shared" si="29"/>
        <v>2007</v>
      </c>
    </row>
    <row r="641" spans="1:24">
      <c r="A641" t="s">
        <v>1081</v>
      </c>
      <c r="B641">
        <v>6.9</v>
      </c>
      <c r="C641" s="1">
        <v>39173.882638888892</v>
      </c>
      <c r="D641">
        <v>0</v>
      </c>
      <c r="E641">
        <v>7</v>
      </c>
      <c r="G641">
        <v>0</v>
      </c>
      <c r="H641">
        <v>732</v>
      </c>
      <c r="I641" t="s">
        <v>46</v>
      </c>
      <c r="J641">
        <v>305</v>
      </c>
      <c r="K641">
        <v>0</v>
      </c>
      <c r="L641">
        <v>15.3</v>
      </c>
      <c r="M641" t="s">
        <v>13</v>
      </c>
      <c r="N641">
        <v>10</v>
      </c>
      <c r="O641">
        <v>-7.306</v>
      </c>
      <c r="P641">
        <v>155.74100000000001</v>
      </c>
      <c r="Q641" t="s">
        <v>506</v>
      </c>
      <c r="S641" t="s">
        <v>124</v>
      </c>
      <c r="U641" t="str">
        <f t="shared" si="27"/>
        <v>N km direction of city</v>
      </c>
      <c r="V641" t="str">
        <f t="shared" si="28"/>
        <v>mwc</v>
      </c>
      <c r="X641">
        <f t="shared" si="29"/>
        <v>2007</v>
      </c>
    </row>
    <row r="642" spans="1:24">
      <c r="A642" t="s">
        <v>1082</v>
      </c>
      <c r="B642">
        <v>6.6</v>
      </c>
      <c r="C642" s="1">
        <v>39173.865972222222</v>
      </c>
      <c r="D642">
        <v>0</v>
      </c>
      <c r="E642">
        <v>7</v>
      </c>
      <c r="G642">
        <v>0</v>
      </c>
      <c r="H642">
        <v>670</v>
      </c>
      <c r="I642" t="s">
        <v>46</v>
      </c>
      <c r="J642">
        <v>251</v>
      </c>
      <c r="K642">
        <v>0</v>
      </c>
      <c r="L642">
        <v>16</v>
      </c>
      <c r="M642" t="s">
        <v>6</v>
      </c>
      <c r="N642">
        <v>10</v>
      </c>
      <c r="O642">
        <v>-7.1689999999999996</v>
      </c>
      <c r="P642">
        <v>155.77699999999999</v>
      </c>
      <c r="Q642" t="s">
        <v>506</v>
      </c>
      <c r="S642" t="s">
        <v>124</v>
      </c>
      <c r="U642" t="str">
        <f t="shared" ref="U642:U705" si="30">IF(ISNUMBER(SEARCH("km",A642)),"N km direction of city","Named-region")</f>
        <v>N km direction of city</v>
      </c>
      <c r="V642" t="str">
        <f t="shared" ref="V642:V705" si="31">LOWER(M642)</f>
        <v>mb</v>
      </c>
      <c r="X642">
        <f t="shared" ref="X642:X705" si="32">YEAR(C642)</f>
        <v>2007</v>
      </c>
    </row>
    <row r="643" spans="1:24">
      <c r="A643" t="s">
        <v>1083</v>
      </c>
      <c r="B643">
        <v>8.1</v>
      </c>
      <c r="C643" s="1">
        <v>39173.86041666667</v>
      </c>
      <c r="D643">
        <v>9</v>
      </c>
      <c r="E643">
        <v>8</v>
      </c>
      <c r="G643">
        <v>0</v>
      </c>
      <c r="H643">
        <v>1025</v>
      </c>
      <c r="I643" t="s">
        <v>46</v>
      </c>
      <c r="J643">
        <v>439</v>
      </c>
      <c r="K643">
        <v>0</v>
      </c>
      <c r="L643">
        <v>14.7</v>
      </c>
      <c r="M643" t="s">
        <v>13</v>
      </c>
      <c r="N643">
        <v>24</v>
      </c>
      <c r="O643">
        <v>-8.4659999999999993</v>
      </c>
      <c r="P643">
        <v>157.04300000000001</v>
      </c>
      <c r="Q643" t="s">
        <v>621</v>
      </c>
      <c r="S643" t="s">
        <v>124</v>
      </c>
      <c r="U643" t="str">
        <f t="shared" si="30"/>
        <v>N km direction of city</v>
      </c>
      <c r="V643" t="str">
        <f t="shared" si="31"/>
        <v>mwc</v>
      </c>
      <c r="X643">
        <f t="shared" si="32"/>
        <v>2007</v>
      </c>
    </row>
    <row r="644" spans="1:24">
      <c r="A644" t="s">
        <v>1084</v>
      </c>
      <c r="B644">
        <v>6.7</v>
      </c>
      <c r="C644" s="1">
        <v>39166.02847222222</v>
      </c>
      <c r="D644">
        <v>7</v>
      </c>
      <c r="E644">
        <v>8</v>
      </c>
      <c r="G644">
        <v>0</v>
      </c>
      <c r="H644">
        <v>782</v>
      </c>
      <c r="I644" t="s">
        <v>46</v>
      </c>
      <c r="J644">
        <v>493</v>
      </c>
      <c r="K644">
        <v>0</v>
      </c>
      <c r="L644">
        <v>23.9</v>
      </c>
      <c r="M644" t="s">
        <v>13</v>
      </c>
      <c r="N644">
        <v>8</v>
      </c>
      <c r="O644">
        <v>37.335999999999999</v>
      </c>
      <c r="P644">
        <v>136.58799999999999</v>
      </c>
      <c r="Q644" t="s">
        <v>1085</v>
      </c>
      <c r="R644" t="s">
        <v>85</v>
      </c>
      <c r="S644" t="s">
        <v>243</v>
      </c>
      <c r="U644" t="str">
        <f t="shared" si="30"/>
        <v>N km direction of city</v>
      </c>
      <c r="V644" t="str">
        <f t="shared" si="31"/>
        <v>mwc</v>
      </c>
      <c r="X644">
        <f t="shared" si="32"/>
        <v>2007</v>
      </c>
    </row>
    <row r="645" spans="1:24">
      <c r="A645" t="s">
        <v>1086</v>
      </c>
      <c r="B645">
        <v>7.1</v>
      </c>
      <c r="C645" s="1">
        <v>39166.027777777781</v>
      </c>
      <c r="D645">
        <v>3</v>
      </c>
      <c r="E645">
        <v>6</v>
      </c>
      <c r="G645">
        <v>0</v>
      </c>
      <c r="H645">
        <v>779</v>
      </c>
      <c r="I645" t="s">
        <v>46</v>
      </c>
      <c r="J645">
        <v>426</v>
      </c>
      <c r="K645">
        <v>0</v>
      </c>
      <c r="L645">
        <v>25.3</v>
      </c>
      <c r="M645" t="s">
        <v>12</v>
      </c>
      <c r="N645">
        <v>34</v>
      </c>
      <c r="O645">
        <v>-20.617000000000001</v>
      </c>
      <c r="P645">
        <v>169.357</v>
      </c>
      <c r="Q645" t="s">
        <v>148</v>
      </c>
      <c r="U645" t="str">
        <f t="shared" si="30"/>
        <v>N km direction of city</v>
      </c>
      <c r="V645" t="str">
        <f t="shared" si="31"/>
        <v>mwb</v>
      </c>
      <c r="X645">
        <f t="shared" si="32"/>
        <v>2007</v>
      </c>
    </row>
    <row r="646" spans="1:24">
      <c r="A646" t="s">
        <v>1087</v>
      </c>
      <c r="B646">
        <v>6.7</v>
      </c>
      <c r="C646" s="1">
        <v>39133.336111111108</v>
      </c>
      <c r="D646">
        <v>0</v>
      </c>
      <c r="E646">
        <v>6</v>
      </c>
      <c r="G646">
        <v>0</v>
      </c>
      <c r="H646">
        <v>691</v>
      </c>
      <c r="I646" t="s">
        <v>46</v>
      </c>
      <c r="J646">
        <v>253</v>
      </c>
      <c r="K646">
        <v>0</v>
      </c>
      <c r="L646">
        <v>40.299999999999997</v>
      </c>
      <c r="M646" t="s">
        <v>13</v>
      </c>
      <c r="N646">
        <v>12</v>
      </c>
      <c r="O646">
        <v>-1.034</v>
      </c>
      <c r="P646">
        <v>126.976</v>
      </c>
      <c r="Q646" t="s">
        <v>1088</v>
      </c>
      <c r="S646" t="s">
        <v>77</v>
      </c>
      <c r="U646" t="str">
        <f t="shared" si="30"/>
        <v>N km direction of city</v>
      </c>
      <c r="V646" t="str">
        <f t="shared" si="31"/>
        <v>mwc</v>
      </c>
      <c r="X646">
        <f t="shared" si="32"/>
        <v>2007</v>
      </c>
    </row>
    <row r="647" spans="1:24">
      <c r="A647" t="s">
        <v>1089</v>
      </c>
      <c r="B647">
        <v>7.5</v>
      </c>
      <c r="C647" s="1">
        <v>39103.477083333331</v>
      </c>
      <c r="D647">
        <v>6</v>
      </c>
      <c r="E647">
        <v>5</v>
      </c>
      <c r="G647">
        <v>0</v>
      </c>
      <c r="H647">
        <v>874</v>
      </c>
      <c r="I647" t="s">
        <v>46</v>
      </c>
      <c r="J647">
        <v>570</v>
      </c>
      <c r="K647">
        <v>0</v>
      </c>
      <c r="L647">
        <v>21.6</v>
      </c>
      <c r="M647" t="s">
        <v>13</v>
      </c>
      <c r="N647">
        <v>22</v>
      </c>
      <c r="O647">
        <v>1.0649999999999999</v>
      </c>
      <c r="P647">
        <v>126.282</v>
      </c>
      <c r="Q647" t="s">
        <v>669</v>
      </c>
      <c r="S647" t="s">
        <v>77</v>
      </c>
      <c r="U647" t="str">
        <f t="shared" si="30"/>
        <v>N km direction of city</v>
      </c>
      <c r="V647" t="str">
        <f t="shared" si="31"/>
        <v>mwc</v>
      </c>
      <c r="X647">
        <f t="shared" si="32"/>
        <v>2007</v>
      </c>
    </row>
    <row r="648" spans="1:24">
      <c r="A648" t="s">
        <v>1090</v>
      </c>
      <c r="B648">
        <v>8.1</v>
      </c>
      <c r="C648" s="1">
        <v>39095.182638888888</v>
      </c>
      <c r="D648">
        <v>4</v>
      </c>
      <c r="E648">
        <v>5</v>
      </c>
      <c r="G648">
        <v>0</v>
      </c>
      <c r="H648">
        <v>1034</v>
      </c>
      <c r="I648" t="s">
        <v>46</v>
      </c>
      <c r="J648">
        <v>606</v>
      </c>
      <c r="K648">
        <v>0</v>
      </c>
      <c r="L648">
        <v>14</v>
      </c>
      <c r="M648" t="s">
        <v>13</v>
      </c>
      <c r="N648">
        <v>10</v>
      </c>
      <c r="O648">
        <v>46.243000000000002</v>
      </c>
      <c r="P648">
        <v>154.524</v>
      </c>
      <c r="Q648" t="s">
        <v>1091</v>
      </c>
      <c r="U648" t="str">
        <f t="shared" si="30"/>
        <v>Named-region</v>
      </c>
      <c r="V648" t="str">
        <f t="shared" si="31"/>
        <v>mwc</v>
      </c>
      <c r="X648">
        <f t="shared" si="32"/>
        <v>2007</v>
      </c>
    </row>
    <row r="649" spans="1:24">
      <c r="A649" t="s">
        <v>1092</v>
      </c>
      <c r="B649">
        <v>6.9</v>
      </c>
      <c r="C649" s="1">
        <v>39077.523611111108</v>
      </c>
      <c r="D649">
        <v>6</v>
      </c>
      <c r="E649">
        <v>7</v>
      </c>
      <c r="G649">
        <v>0</v>
      </c>
      <c r="H649">
        <v>798</v>
      </c>
      <c r="I649" t="s">
        <v>46</v>
      </c>
      <c r="J649">
        <v>466</v>
      </c>
      <c r="K649">
        <v>0</v>
      </c>
      <c r="L649">
        <v>31.6</v>
      </c>
      <c r="M649" t="s">
        <v>13</v>
      </c>
      <c r="N649">
        <v>10</v>
      </c>
      <c r="O649">
        <v>21.974</v>
      </c>
      <c r="P649">
        <v>120.49299999999999</v>
      </c>
      <c r="Q649" t="s">
        <v>1093</v>
      </c>
      <c r="R649" t="s">
        <v>85</v>
      </c>
      <c r="S649" t="s">
        <v>144</v>
      </c>
      <c r="U649" t="str">
        <f t="shared" si="30"/>
        <v>N km direction of city</v>
      </c>
      <c r="V649" t="str">
        <f t="shared" si="31"/>
        <v>mwc</v>
      </c>
      <c r="X649">
        <f t="shared" si="32"/>
        <v>2006</v>
      </c>
    </row>
    <row r="650" spans="1:24">
      <c r="A650" t="s">
        <v>1094</v>
      </c>
      <c r="B650">
        <v>7.1</v>
      </c>
      <c r="C650" s="1">
        <v>39077.518055555563</v>
      </c>
      <c r="D650">
        <v>8</v>
      </c>
      <c r="E650">
        <v>7</v>
      </c>
      <c r="G650">
        <v>0</v>
      </c>
      <c r="H650">
        <v>1023</v>
      </c>
      <c r="I650" t="s">
        <v>46</v>
      </c>
      <c r="J650">
        <v>744</v>
      </c>
      <c r="K650">
        <v>0</v>
      </c>
      <c r="L650">
        <v>29.1</v>
      </c>
      <c r="M650" t="s">
        <v>12</v>
      </c>
      <c r="N650">
        <v>10</v>
      </c>
      <c r="O650">
        <v>21.798999999999999</v>
      </c>
      <c r="P650">
        <v>120.547</v>
      </c>
      <c r="Q650" t="s">
        <v>1093</v>
      </c>
      <c r="R650" t="s">
        <v>85</v>
      </c>
      <c r="S650" t="s">
        <v>144</v>
      </c>
      <c r="U650" t="str">
        <f t="shared" si="30"/>
        <v>N km direction of city</v>
      </c>
      <c r="V650" t="str">
        <f t="shared" si="31"/>
        <v>mwb</v>
      </c>
      <c r="X650">
        <f t="shared" si="32"/>
        <v>2006</v>
      </c>
    </row>
    <row r="651" spans="1:24">
      <c r="A651" t="s">
        <v>1095</v>
      </c>
      <c r="B651">
        <v>8.3000000000000007</v>
      </c>
      <c r="C651" s="1">
        <v>39036.468055555553</v>
      </c>
      <c r="D651">
        <v>4</v>
      </c>
      <c r="E651">
        <v>7</v>
      </c>
      <c r="G651">
        <v>0</v>
      </c>
      <c r="H651">
        <v>1064</v>
      </c>
      <c r="I651" t="s">
        <v>46</v>
      </c>
      <c r="J651">
        <v>576</v>
      </c>
      <c r="K651">
        <v>0</v>
      </c>
      <c r="L651">
        <v>20.9</v>
      </c>
      <c r="M651" t="s">
        <v>13</v>
      </c>
      <c r="N651">
        <v>10</v>
      </c>
      <c r="O651">
        <v>46.591999999999999</v>
      </c>
      <c r="P651">
        <v>153.26599999999999</v>
      </c>
      <c r="Q651" t="s">
        <v>1096</v>
      </c>
      <c r="U651" t="str">
        <f t="shared" si="30"/>
        <v>Named-region</v>
      </c>
      <c r="V651" t="str">
        <f t="shared" si="31"/>
        <v>mwc</v>
      </c>
      <c r="X651">
        <f t="shared" si="32"/>
        <v>2006</v>
      </c>
    </row>
    <row r="652" spans="1:24">
      <c r="A652" t="s">
        <v>1097</v>
      </c>
      <c r="B652">
        <v>6.6</v>
      </c>
      <c r="C652" s="1">
        <v>39028.734722222223</v>
      </c>
      <c r="D652">
        <v>0</v>
      </c>
      <c r="E652">
        <v>6</v>
      </c>
      <c r="G652">
        <v>0</v>
      </c>
      <c r="H652">
        <v>670</v>
      </c>
      <c r="I652" t="s">
        <v>46</v>
      </c>
      <c r="J652">
        <v>352</v>
      </c>
      <c r="K652">
        <v>0</v>
      </c>
      <c r="L652">
        <v>18.600000000000001</v>
      </c>
      <c r="M652" t="s">
        <v>13</v>
      </c>
      <c r="N652">
        <v>11</v>
      </c>
      <c r="O652">
        <v>-6.4820000000000002</v>
      </c>
      <c r="P652">
        <v>151.19499999999999</v>
      </c>
      <c r="Q652" t="s">
        <v>103</v>
      </c>
      <c r="U652" t="str">
        <f t="shared" si="30"/>
        <v>N km direction of city</v>
      </c>
      <c r="V652" t="str">
        <f t="shared" si="31"/>
        <v>mwc</v>
      </c>
      <c r="X652">
        <f t="shared" si="32"/>
        <v>2006</v>
      </c>
    </row>
    <row r="653" spans="1:24">
      <c r="A653" t="s">
        <v>1098</v>
      </c>
      <c r="B653">
        <v>6.7</v>
      </c>
      <c r="C653" s="1">
        <v>39010.449999999997</v>
      </c>
      <c r="D653">
        <v>5</v>
      </c>
      <c r="E653">
        <v>6</v>
      </c>
      <c r="G653">
        <v>0</v>
      </c>
      <c r="H653">
        <v>732</v>
      </c>
      <c r="I653" t="s">
        <v>46</v>
      </c>
      <c r="J653">
        <v>444</v>
      </c>
      <c r="K653">
        <v>0</v>
      </c>
      <c r="L653">
        <v>53.4</v>
      </c>
      <c r="M653" t="s">
        <v>13</v>
      </c>
      <c r="N653">
        <v>23</v>
      </c>
      <c r="O653">
        <v>-13.457000000000001</v>
      </c>
      <c r="P653">
        <v>-76.677000000000007</v>
      </c>
      <c r="Q653" t="s">
        <v>1069</v>
      </c>
      <c r="S653" t="s">
        <v>164</v>
      </c>
      <c r="U653" t="str">
        <f t="shared" si="30"/>
        <v>N km direction of city</v>
      </c>
      <c r="V653" t="str">
        <f t="shared" si="31"/>
        <v>mwc</v>
      </c>
      <c r="X653">
        <f t="shared" si="32"/>
        <v>2006</v>
      </c>
    </row>
    <row r="654" spans="1:24">
      <c r="A654" t="s">
        <v>1099</v>
      </c>
      <c r="B654">
        <v>6.7</v>
      </c>
      <c r="C654" s="1">
        <v>39007.059027777781</v>
      </c>
      <c r="D654">
        <v>5</v>
      </c>
      <c r="E654">
        <v>6</v>
      </c>
      <c r="G654">
        <v>0</v>
      </c>
      <c r="H654">
        <v>692</v>
      </c>
      <c r="I654" t="s">
        <v>46</v>
      </c>
      <c r="J654">
        <v>533</v>
      </c>
      <c r="K654">
        <v>0</v>
      </c>
      <c r="L654">
        <v>15.6</v>
      </c>
      <c r="M654" t="s">
        <v>13</v>
      </c>
      <c r="N654">
        <v>32</v>
      </c>
      <c r="O654">
        <v>-5.8810000000000002</v>
      </c>
      <c r="P654">
        <v>150.982</v>
      </c>
      <c r="Q654" t="s">
        <v>103</v>
      </c>
      <c r="S654" t="s">
        <v>89</v>
      </c>
      <c r="U654" t="str">
        <f t="shared" si="30"/>
        <v>N km direction of city</v>
      </c>
      <c r="V654" t="str">
        <f t="shared" si="31"/>
        <v>mwc</v>
      </c>
      <c r="X654">
        <f t="shared" si="32"/>
        <v>2006</v>
      </c>
    </row>
    <row r="655" spans="1:24">
      <c r="A655" t="s">
        <v>1100</v>
      </c>
      <c r="B655">
        <v>6.7</v>
      </c>
      <c r="C655" s="1">
        <v>39005.713194444441</v>
      </c>
      <c r="D655">
        <v>8</v>
      </c>
      <c r="E655">
        <v>9</v>
      </c>
      <c r="G655">
        <v>0</v>
      </c>
      <c r="H655">
        <v>1481</v>
      </c>
      <c r="I655" t="s">
        <v>426</v>
      </c>
      <c r="J655">
        <v>43</v>
      </c>
      <c r="K655">
        <v>0</v>
      </c>
      <c r="L655">
        <v>124</v>
      </c>
      <c r="M655" t="s">
        <v>7</v>
      </c>
      <c r="N655">
        <v>38.182000000000002</v>
      </c>
      <c r="O655">
        <v>19.876999999999999</v>
      </c>
      <c r="P655">
        <v>-155.935</v>
      </c>
      <c r="Q655" t="s">
        <v>1101</v>
      </c>
      <c r="S655" t="s">
        <v>204</v>
      </c>
      <c r="U655" t="str">
        <f t="shared" si="30"/>
        <v>N km direction of city</v>
      </c>
      <c r="V655" t="str">
        <f t="shared" si="31"/>
        <v>md</v>
      </c>
      <c r="X655">
        <f t="shared" si="32"/>
        <v>2006</v>
      </c>
    </row>
    <row r="656" spans="1:24">
      <c r="A656" t="s">
        <v>1102</v>
      </c>
      <c r="B656">
        <v>6.9</v>
      </c>
      <c r="C656" s="1">
        <v>38988.265277777777</v>
      </c>
      <c r="D656">
        <v>3</v>
      </c>
      <c r="E656">
        <v>3</v>
      </c>
      <c r="G656">
        <v>0</v>
      </c>
      <c r="H656">
        <v>737</v>
      </c>
      <c r="I656" t="s">
        <v>46</v>
      </c>
      <c r="J656">
        <v>702</v>
      </c>
      <c r="K656">
        <v>0</v>
      </c>
      <c r="L656">
        <v>20.9</v>
      </c>
      <c r="M656" t="s">
        <v>13</v>
      </c>
      <c r="N656">
        <v>28</v>
      </c>
      <c r="O656">
        <v>-16.591999999999999</v>
      </c>
      <c r="P656">
        <v>-172.03299999999999</v>
      </c>
      <c r="Q656" t="s">
        <v>73</v>
      </c>
      <c r="U656" t="str">
        <f t="shared" si="30"/>
        <v>N km direction of city</v>
      </c>
      <c r="V656" t="str">
        <f t="shared" si="31"/>
        <v>mwc</v>
      </c>
      <c r="X656">
        <f t="shared" si="32"/>
        <v>2006</v>
      </c>
    </row>
    <row r="657" spans="1:24">
      <c r="A657" t="s">
        <v>1103</v>
      </c>
      <c r="B657">
        <v>6.8</v>
      </c>
      <c r="C657" s="1">
        <v>38961.429166666669</v>
      </c>
      <c r="D657">
        <v>0</v>
      </c>
      <c r="E657">
        <v>6</v>
      </c>
      <c r="G657">
        <v>0</v>
      </c>
      <c r="H657">
        <v>711</v>
      </c>
      <c r="I657" t="s">
        <v>46</v>
      </c>
      <c r="J657">
        <v>459</v>
      </c>
      <c r="K657">
        <v>0</v>
      </c>
      <c r="L657">
        <v>28.4</v>
      </c>
      <c r="M657" t="s">
        <v>12</v>
      </c>
      <c r="N657">
        <v>38</v>
      </c>
      <c r="O657">
        <v>-6.7590000000000003</v>
      </c>
      <c r="P657">
        <v>155.512</v>
      </c>
      <c r="Q657" t="s">
        <v>506</v>
      </c>
      <c r="S657" t="s">
        <v>89</v>
      </c>
      <c r="U657" t="str">
        <f t="shared" si="30"/>
        <v>N km direction of city</v>
      </c>
      <c r="V657" t="str">
        <f t="shared" si="31"/>
        <v>mwb</v>
      </c>
      <c r="X657">
        <f t="shared" si="32"/>
        <v>2006</v>
      </c>
    </row>
    <row r="658" spans="1:24">
      <c r="A658" t="s">
        <v>1104</v>
      </c>
      <c r="B658">
        <v>6.5</v>
      </c>
      <c r="C658" s="1">
        <v>38953.909722222219</v>
      </c>
      <c r="D658">
        <v>0</v>
      </c>
      <c r="E658">
        <v>6</v>
      </c>
      <c r="G658">
        <v>0</v>
      </c>
      <c r="H658">
        <v>650</v>
      </c>
      <c r="I658" t="s">
        <v>46</v>
      </c>
      <c r="J658">
        <v>700</v>
      </c>
      <c r="K658">
        <v>0</v>
      </c>
      <c r="L658">
        <v>47.4</v>
      </c>
      <c r="M658" t="s">
        <v>12</v>
      </c>
      <c r="N658">
        <v>43</v>
      </c>
      <c r="O658">
        <v>51.148000000000003</v>
      </c>
      <c r="P658">
        <v>157.52199999999999</v>
      </c>
      <c r="Q658" t="s">
        <v>397</v>
      </c>
      <c r="R658" t="s">
        <v>85</v>
      </c>
      <c r="S658" t="s">
        <v>310</v>
      </c>
      <c r="U658" t="str">
        <f t="shared" si="30"/>
        <v>N km direction of city</v>
      </c>
      <c r="V658" t="str">
        <f t="shared" si="31"/>
        <v>mwb</v>
      </c>
      <c r="X658">
        <f t="shared" si="32"/>
        <v>2006</v>
      </c>
    </row>
    <row r="659" spans="1:24">
      <c r="A659" t="s">
        <v>1105</v>
      </c>
      <c r="B659">
        <v>6.8</v>
      </c>
      <c r="C659" s="1">
        <v>38936.929166666669</v>
      </c>
      <c r="D659">
        <v>5</v>
      </c>
      <c r="E659">
        <v>5</v>
      </c>
      <c r="G659">
        <v>0</v>
      </c>
      <c r="H659">
        <v>713</v>
      </c>
      <c r="I659" t="s">
        <v>46</v>
      </c>
      <c r="J659">
        <v>551</v>
      </c>
      <c r="K659">
        <v>0</v>
      </c>
      <c r="L659">
        <v>26.2</v>
      </c>
      <c r="M659" t="s">
        <v>12</v>
      </c>
      <c r="N659">
        <v>150</v>
      </c>
      <c r="O659">
        <v>-15.798</v>
      </c>
      <c r="P659">
        <v>167.78899999999999</v>
      </c>
      <c r="Q659" t="s">
        <v>559</v>
      </c>
      <c r="S659" t="s">
        <v>48</v>
      </c>
      <c r="U659" t="str">
        <f t="shared" si="30"/>
        <v>N km direction of city</v>
      </c>
      <c r="V659" t="str">
        <f t="shared" si="31"/>
        <v>mwb</v>
      </c>
      <c r="X659">
        <f t="shared" si="32"/>
        <v>2006</v>
      </c>
    </row>
    <row r="660" spans="1:24">
      <c r="A660" t="s">
        <v>1106</v>
      </c>
      <c r="B660">
        <v>7.7</v>
      </c>
      <c r="C660" s="1">
        <v>38915.34652777778</v>
      </c>
      <c r="D660">
        <v>7</v>
      </c>
      <c r="E660">
        <v>5</v>
      </c>
      <c r="G660">
        <v>0</v>
      </c>
      <c r="H660">
        <v>947</v>
      </c>
      <c r="I660" t="s">
        <v>46</v>
      </c>
      <c r="J660">
        <v>357</v>
      </c>
      <c r="K660">
        <v>0</v>
      </c>
      <c r="L660">
        <v>36.799999999999997</v>
      </c>
      <c r="M660" t="s">
        <v>13</v>
      </c>
      <c r="N660">
        <v>20</v>
      </c>
      <c r="O660">
        <v>-9.2840000000000007</v>
      </c>
      <c r="P660">
        <v>107.419</v>
      </c>
      <c r="Q660" t="s">
        <v>1107</v>
      </c>
      <c r="U660" t="str">
        <f t="shared" si="30"/>
        <v>N km direction of city</v>
      </c>
      <c r="V660" t="str">
        <f t="shared" si="31"/>
        <v>mwc</v>
      </c>
      <c r="X660">
        <f t="shared" si="32"/>
        <v>2006</v>
      </c>
    </row>
    <row r="661" spans="1:24">
      <c r="A661" t="s">
        <v>1108</v>
      </c>
      <c r="B661">
        <v>6.5</v>
      </c>
      <c r="C661" s="1">
        <v>38865.133333333331</v>
      </c>
      <c r="D661">
        <v>0</v>
      </c>
      <c r="E661">
        <v>6</v>
      </c>
      <c r="G661">
        <v>0</v>
      </c>
      <c r="H661">
        <v>650</v>
      </c>
      <c r="I661" t="s">
        <v>46</v>
      </c>
      <c r="J661">
        <v>477</v>
      </c>
      <c r="K661">
        <v>0</v>
      </c>
      <c r="L661">
        <v>20.3</v>
      </c>
      <c r="M661" t="s">
        <v>13</v>
      </c>
      <c r="N661">
        <v>34</v>
      </c>
      <c r="O661">
        <v>-5.7240000000000002</v>
      </c>
      <c r="P661">
        <v>151.13300000000001</v>
      </c>
      <c r="Q661" t="s">
        <v>103</v>
      </c>
      <c r="S661" t="s">
        <v>89</v>
      </c>
      <c r="U661" t="str">
        <f t="shared" si="30"/>
        <v>N km direction of city</v>
      </c>
      <c r="V661" t="str">
        <f t="shared" si="31"/>
        <v>mwc</v>
      </c>
      <c r="X661">
        <f t="shared" si="32"/>
        <v>2006</v>
      </c>
    </row>
    <row r="662" spans="1:24">
      <c r="A662" t="s">
        <v>1109</v>
      </c>
      <c r="B662">
        <v>6.6</v>
      </c>
      <c r="C662" s="1">
        <v>38859.466666666667</v>
      </c>
      <c r="D662">
        <v>0</v>
      </c>
      <c r="E662">
        <v>7</v>
      </c>
      <c r="G662">
        <v>0</v>
      </c>
      <c r="H662">
        <v>670</v>
      </c>
      <c r="I662" t="s">
        <v>46</v>
      </c>
      <c r="J662">
        <v>548</v>
      </c>
      <c r="K662">
        <v>0</v>
      </c>
      <c r="L662">
        <v>28</v>
      </c>
      <c r="M662" t="s">
        <v>13</v>
      </c>
      <c r="N662">
        <v>19</v>
      </c>
      <c r="O662">
        <v>60.771999999999998</v>
      </c>
      <c r="P662">
        <v>165.74299999999999</v>
      </c>
      <c r="Q662" t="s">
        <v>1110</v>
      </c>
      <c r="R662" t="s">
        <v>85</v>
      </c>
      <c r="S662" t="s">
        <v>310</v>
      </c>
      <c r="U662" t="str">
        <f t="shared" si="30"/>
        <v>N km direction of city</v>
      </c>
      <c r="V662" t="str">
        <f t="shared" si="31"/>
        <v>mwc</v>
      </c>
      <c r="X662">
        <f t="shared" si="32"/>
        <v>2006</v>
      </c>
    </row>
    <row r="663" spans="1:24">
      <c r="A663" t="s">
        <v>1111</v>
      </c>
      <c r="B663">
        <v>6.8</v>
      </c>
      <c r="C663" s="1">
        <v>38853.644444444442</v>
      </c>
      <c r="D663">
        <v>4</v>
      </c>
      <c r="E663">
        <v>5</v>
      </c>
      <c r="G663">
        <v>0</v>
      </c>
      <c r="H663">
        <v>719</v>
      </c>
      <c r="I663" t="s">
        <v>46</v>
      </c>
      <c r="J663">
        <v>701</v>
      </c>
      <c r="K663">
        <v>0</v>
      </c>
      <c r="L663">
        <v>16.3</v>
      </c>
      <c r="M663" t="s">
        <v>12</v>
      </c>
      <c r="N663">
        <v>12</v>
      </c>
      <c r="O663">
        <v>9.2999999999999999E-2</v>
      </c>
      <c r="P663">
        <v>97.05</v>
      </c>
      <c r="Q663" t="s">
        <v>1112</v>
      </c>
      <c r="U663" t="str">
        <f t="shared" si="30"/>
        <v>N km direction of city</v>
      </c>
      <c r="V663" t="str">
        <f t="shared" si="31"/>
        <v>mwb</v>
      </c>
      <c r="X663">
        <f t="shared" si="32"/>
        <v>2006</v>
      </c>
    </row>
    <row r="664" spans="1:24">
      <c r="A664" t="s">
        <v>1113</v>
      </c>
      <c r="B664">
        <v>8</v>
      </c>
      <c r="C664" s="1">
        <v>38840.643055555563</v>
      </c>
      <c r="D664">
        <v>7</v>
      </c>
      <c r="E664">
        <v>7</v>
      </c>
      <c r="G664">
        <v>0</v>
      </c>
      <c r="H664">
        <v>1013</v>
      </c>
      <c r="I664" t="s">
        <v>46</v>
      </c>
      <c r="J664">
        <v>626</v>
      </c>
      <c r="K664">
        <v>0</v>
      </c>
      <c r="L664">
        <v>20.7</v>
      </c>
      <c r="M664" t="s">
        <v>13</v>
      </c>
      <c r="N664">
        <v>55</v>
      </c>
      <c r="O664">
        <v>-20.187000000000001</v>
      </c>
      <c r="P664">
        <v>-174.12299999999999</v>
      </c>
      <c r="Q664" t="s">
        <v>247</v>
      </c>
      <c r="U664" t="str">
        <f t="shared" si="30"/>
        <v>N km direction of city</v>
      </c>
      <c r="V664" t="str">
        <f t="shared" si="31"/>
        <v>mwc</v>
      </c>
      <c r="X664">
        <f t="shared" si="32"/>
        <v>2006</v>
      </c>
    </row>
    <row r="665" spans="1:24">
      <c r="A665" t="s">
        <v>1114</v>
      </c>
      <c r="B665">
        <v>8</v>
      </c>
      <c r="C665" s="1">
        <v>38840.643055555563</v>
      </c>
      <c r="D665">
        <v>8</v>
      </c>
      <c r="E665">
        <v>9</v>
      </c>
      <c r="G665">
        <v>0</v>
      </c>
      <c r="H665">
        <v>1026</v>
      </c>
      <c r="I665" t="s">
        <v>1016</v>
      </c>
      <c r="J665">
        <v>0</v>
      </c>
      <c r="K665">
        <v>0</v>
      </c>
      <c r="L665">
        <v>0</v>
      </c>
      <c r="M665" t="s">
        <v>14</v>
      </c>
      <c r="N665">
        <v>60.5</v>
      </c>
      <c r="O665">
        <v>-19.989999999999998</v>
      </c>
      <c r="P665">
        <v>-173.90700000000001</v>
      </c>
      <c r="Q665" t="s">
        <v>247</v>
      </c>
      <c r="U665" t="str">
        <f t="shared" si="30"/>
        <v>N km direction of city</v>
      </c>
      <c r="V665" t="str">
        <f t="shared" si="31"/>
        <v>mww</v>
      </c>
      <c r="X665">
        <f t="shared" si="32"/>
        <v>2006</v>
      </c>
    </row>
    <row r="666" spans="1:24">
      <c r="A666" t="s">
        <v>1115</v>
      </c>
      <c r="B666">
        <v>6.5</v>
      </c>
      <c r="C666" s="1">
        <v>38837.902777777781</v>
      </c>
      <c r="D666">
        <v>7</v>
      </c>
      <c r="E666">
        <v>7</v>
      </c>
      <c r="G666">
        <v>0</v>
      </c>
      <c r="H666">
        <v>653</v>
      </c>
      <c r="I666" t="s">
        <v>46</v>
      </c>
      <c r="J666">
        <v>282</v>
      </c>
      <c r="K666">
        <v>0</v>
      </c>
      <c r="L666">
        <v>46.3</v>
      </c>
      <c r="M666" t="s">
        <v>13</v>
      </c>
      <c r="N666">
        <v>12</v>
      </c>
      <c r="O666">
        <v>-27.210999999999999</v>
      </c>
      <c r="P666">
        <v>-71.055999999999997</v>
      </c>
      <c r="Q666" t="s">
        <v>1116</v>
      </c>
      <c r="S666" t="s">
        <v>275</v>
      </c>
      <c r="U666" t="str">
        <f t="shared" si="30"/>
        <v>N km direction of city</v>
      </c>
      <c r="V666" t="str">
        <f t="shared" si="31"/>
        <v>mwc</v>
      </c>
      <c r="X666">
        <f t="shared" si="32"/>
        <v>2006</v>
      </c>
    </row>
    <row r="667" spans="1:24">
      <c r="A667" t="s">
        <v>1117</v>
      </c>
      <c r="B667">
        <v>6.7</v>
      </c>
      <c r="C667" s="1">
        <v>38837.803472222222</v>
      </c>
      <c r="D667">
        <v>6</v>
      </c>
      <c r="E667">
        <v>7</v>
      </c>
      <c r="G667">
        <v>0</v>
      </c>
      <c r="H667">
        <v>696</v>
      </c>
      <c r="I667" t="s">
        <v>46</v>
      </c>
      <c r="J667">
        <v>277</v>
      </c>
      <c r="K667">
        <v>0</v>
      </c>
      <c r="L667">
        <v>25.6</v>
      </c>
      <c r="M667" t="s">
        <v>12</v>
      </c>
      <c r="N667">
        <v>12</v>
      </c>
      <c r="O667">
        <v>-27.016999999999999</v>
      </c>
      <c r="P667">
        <v>-71.022000000000006</v>
      </c>
      <c r="Q667" t="s">
        <v>1116</v>
      </c>
      <c r="S667" t="s">
        <v>275</v>
      </c>
      <c r="U667" t="str">
        <f t="shared" si="30"/>
        <v>N km direction of city</v>
      </c>
      <c r="V667" t="str">
        <f t="shared" si="31"/>
        <v>mwb</v>
      </c>
      <c r="X667">
        <f t="shared" si="32"/>
        <v>2006</v>
      </c>
    </row>
    <row r="668" spans="1:24">
      <c r="A668" t="s">
        <v>1118</v>
      </c>
      <c r="B668">
        <v>6.6</v>
      </c>
      <c r="C668" s="1">
        <v>38836.706944444442</v>
      </c>
      <c r="D668">
        <v>0</v>
      </c>
      <c r="E668">
        <v>8</v>
      </c>
      <c r="G668">
        <v>0</v>
      </c>
      <c r="H668">
        <v>670</v>
      </c>
      <c r="I668" t="s">
        <v>46</v>
      </c>
      <c r="J668">
        <v>645</v>
      </c>
      <c r="K668">
        <v>0</v>
      </c>
      <c r="L668">
        <v>28.4</v>
      </c>
      <c r="M668" t="s">
        <v>13</v>
      </c>
      <c r="N668">
        <v>11</v>
      </c>
      <c r="O668">
        <v>60.491</v>
      </c>
      <c r="P668">
        <v>167.51599999999999</v>
      </c>
      <c r="Q668" t="s">
        <v>1110</v>
      </c>
      <c r="R668" t="s">
        <v>85</v>
      </c>
      <c r="S668" t="s">
        <v>310</v>
      </c>
      <c r="U668" t="str">
        <f t="shared" si="30"/>
        <v>N km direction of city</v>
      </c>
      <c r="V668" t="str">
        <f t="shared" si="31"/>
        <v>mwc</v>
      </c>
      <c r="X668">
        <f t="shared" si="32"/>
        <v>2006</v>
      </c>
    </row>
    <row r="669" spans="1:24">
      <c r="A669" t="s">
        <v>1119</v>
      </c>
      <c r="B669">
        <v>7.6</v>
      </c>
      <c r="C669" s="1">
        <v>38827.975694444453</v>
      </c>
      <c r="D669">
        <v>0</v>
      </c>
      <c r="E669">
        <v>8</v>
      </c>
      <c r="G669">
        <v>0</v>
      </c>
      <c r="H669">
        <v>889</v>
      </c>
      <c r="I669" t="s">
        <v>46</v>
      </c>
      <c r="J669">
        <v>579</v>
      </c>
      <c r="K669">
        <v>0</v>
      </c>
      <c r="L669">
        <v>18.5</v>
      </c>
      <c r="M669" t="s">
        <v>13</v>
      </c>
      <c r="N669">
        <v>22</v>
      </c>
      <c r="O669">
        <v>60.948999999999998</v>
      </c>
      <c r="P669">
        <v>167.089</v>
      </c>
      <c r="Q669" t="s">
        <v>1110</v>
      </c>
      <c r="R669" t="s">
        <v>85</v>
      </c>
      <c r="S669" t="s">
        <v>310</v>
      </c>
      <c r="U669" t="str">
        <f t="shared" si="30"/>
        <v>N km direction of city</v>
      </c>
      <c r="V669" t="str">
        <f t="shared" si="31"/>
        <v>mwc</v>
      </c>
      <c r="X669">
        <f t="shared" si="32"/>
        <v>2006</v>
      </c>
    </row>
    <row r="670" spans="1:24">
      <c r="A670" t="s">
        <v>1120</v>
      </c>
      <c r="B670">
        <v>6.5</v>
      </c>
      <c r="C670" s="1">
        <v>38814.354166666657</v>
      </c>
      <c r="D670">
        <v>3</v>
      </c>
      <c r="E670">
        <v>5</v>
      </c>
      <c r="G670">
        <v>0</v>
      </c>
      <c r="H670">
        <v>654</v>
      </c>
      <c r="I670" t="s">
        <v>46</v>
      </c>
      <c r="J670">
        <v>247</v>
      </c>
      <c r="K670">
        <v>0</v>
      </c>
      <c r="L670">
        <v>25.5</v>
      </c>
      <c r="M670" t="s">
        <v>13</v>
      </c>
      <c r="N670">
        <v>14</v>
      </c>
      <c r="O670">
        <v>-16.527000000000001</v>
      </c>
      <c r="P670">
        <v>176.989</v>
      </c>
      <c r="Q670" t="s">
        <v>1121</v>
      </c>
      <c r="U670" t="str">
        <f t="shared" si="30"/>
        <v>N km direction of city</v>
      </c>
      <c r="V670" t="str">
        <f t="shared" si="31"/>
        <v>mwc</v>
      </c>
      <c r="X670">
        <f t="shared" si="32"/>
        <v>2006</v>
      </c>
    </row>
    <row r="671" spans="1:24">
      <c r="A671" t="s">
        <v>1122</v>
      </c>
      <c r="B671">
        <v>6.7</v>
      </c>
      <c r="C671" s="1">
        <v>38790.289583333331</v>
      </c>
      <c r="D671">
        <v>0</v>
      </c>
      <c r="E671">
        <v>7</v>
      </c>
      <c r="G671">
        <v>0</v>
      </c>
      <c r="H671">
        <v>691</v>
      </c>
      <c r="I671" t="s">
        <v>46</v>
      </c>
      <c r="J671">
        <v>306</v>
      </c>
      <c r="K671">
        <v>0</v>
      </c>
      <c r="L671">
        <v>21.3</v>
      </c>
      <c r="M671" t="s">
        <v>12</v>
      </c>
      <c r="N671">
        <v>30.1</v>
      </c>
      <c r="O671">
        <v>-3.5950000000000002</v>
      </c>
      <c r="P671">
        <v>127.214</v>
      </c>
      <c r="Q671" t="s">
        <v>1123</v>
      </c>
      <c r="S671" t="s">
        <v>77</v>
      </c>
      <c r="U671" t="str">
        <f t="shared" si="30"/>
        <v>N km direction of city</v>
      </c>
      <c r="V671" t="str">
        <f t="shared" si="31"/>
        <v>mwb</v>
      </c>
      <c r="X671">
        <f t="shared" si="32"/>
        <v>2006</v>
      </c>
    </row>
    <row r="672" spans="1:24">
      <c r="A672" t="s">
        <v>1124</v>
      </c>
      <c r="B672">
        <v>7</v>
      </c>
      <c r="C672" s="1">
        <v>38770.929861111108</v>
      </c>
      <c r="D672">
        <v>5</v>
      </c>
      <c r="E672">
        <v>9</v>
      </c>
      <c r="G672">
        <v>0</v>
      </c>
      <c r="H672">
        <v>891</v>
      </c>
      <c r="I672" t="s">
        <v>46</v>
      </c>
      <c r="J672">
        <v>412</v>
      </c>
      <c r="K672">
        <v>0</v>
      </c>
      <c r="L672">
        <v>23.2</v>
      </c>
      <c r="M672" t="s">
        <v>12</v>
      </c>
      <c r="N672">
        <v>11</v>
      </c>
      <c r="O672">
        <v>-21.324000000000002</v>
      </c>
      <c r="P672">
        <v>33.582999999999998</v>
      </c>
      <c r="Q672" t="s">
        <v>1125</v>
      </c>
      <c r="R672" t="s">
        <v>497</v>
      </c>
      <c r="S672" t="s">
        <v>1126</v>
      </c>
      <c r="U672" t="str">
        <f t="shared" si="30"/>
        <v>N km direction of city</v>
      </c>
      <c r="V672" t="str">
        <f t="shared" si="31"/>
        <v>mwb</v>
      </c>
      <c r="X672">
        <f t="shared" si="32"/>
        <v>2006</v>
      </c>
    </row>
    <row r="673" spans="1:24">
      <c r="A673" t="s">
        <v>1127</v>
      </c>
      <c r="B673">
        <v>6.7</v>
      </c>
      <c r="C673" s="1">
        <v>38725.481944444437</v>
      </c>
      <c r="D673">
        <v>7</v>
      </c>
      <c r="E673">
        <v>6</v>
      </c>
      <c r="G673">
        <v>0</v>
      </c>
      <c r="H673">
        <v>934</v>
      </c>
      <c r="I673" t="s">
        <v>46</v>
      </c>
      <c r="J673">
        <v>769</v>
      </c>
      <c r="K673">
        <v>0</v>
      </c>
      <c r="L673">
        <v>19.7</v>
      </c>
      <c r="M673" t="s">
        <v>12</v>
      </c>
      <c r="N673">
        <v>66</v>
      </c>
      <c r="O673">
        <v>36.311</v>
      </c>
      <c r="P673">
        <v>23.212</v>
      </c>
      <c r="Q673" t="s">
        <v>1128</v>
      </c>
      <c r="R673" t="s">
        <v>267</v>
      </c>
      <c r="S673" t="s">
        <v>268</v>
      </c>
      <c r="U673" t="str">
        <f t="shared" si="30"/>
        <v>N km direction of city</v>
      </c>
      <c r="V673" t="str">
        <f t="shared" si="31"/>
        <v>mwb</v>
      </c>
      <c r="X673">
        <f t="shared" si="32"/>
        <v>2006</v>
      </c>
    </row>
    <row r="674" spans="1:24">
      <c r="A674" t="s">
        <v>1129</v>
      </c>
      <c r="B674">
        <v>6.6</v>
      </c>
      <c r="C674" s="1">
        <v>38721.355555555558</v>
      </c>
      <c r="D674">
        <v>7</v>
      </c>
      <c r="E674">
        <v>6</v>
      </c>
      <c r="G674">
        <v>0</v>
      </c>
      <c r="H674">
        <v>703</v>
      </c>
      <c r="I674" t="s">
        <v>46</v>
      </c>
      <c r="J674">
        <v>323</v>
      </c>
      <c r="K674">
        <v>0</v>
      </c>
      <c r="L674">
        <v>48.2</v>
      </c>
      <c r="M674" t="s">
        <v>13</v>
      </c>
      <c r="N674">
        <v>14</v>
      </c>
      <c r="O674">
        <v>28.164000000000001</v>
      </c>
      <c r="P674">
        <v>-112.117</v>
      </c>
      <c r="Q674" t="s">
        <v>988</v>
      </c>
      <c r="U674" t="str">
        <f t="shared" si="30"/>
        <v>N km direction of city</v>
      </c>
      <c r="V674" t="str">
        <f t="shared" si="31"/>
        <v>mwc</v>
      </c>
      <c r="X674">
        <f t="shared" si="32"/>
        <v>2006</v>
      </c>
    </row>
    <row r="675" spans="1:24">
      <c r="A675" t="s">
        <v>1130</v>
      </c>
      <c r="B675">
        <v>6.5</v>
      </c>
      <c r="C675" s="1">
        <v>38698.907638888893</v>
      </c>
      <c r="D675">
        <v>6</v>
      </c>
      <c r="E675">
        <v>5</v>
      </c>
      <c r="G675">
        <v>0</v>
      </c>
      <c r="H675">
        <v>721</v>
      </c>
      <c r="I675" t="s">
        <v>46</v>
      </c>
      <c r="J675">
        <v>529</v>
      </c>
      <c r="K675">
        <v>0</v>
      </c>
      <c r="L675">
        <v>20.5</v>
      </c>
      <c r="M675" t="s">
        <v>12</v>
      </c>
      <c r="N675">
        <v>224.6</v>
      </c>
      <c r="O675">
        <v>36.356999999999999</v>
      </c>
      <c r="P675">
        <v>71.093000000000004</v>
      </c>
      <c r="Q675" t="s">
        <v>566</v>
      </c>
      <c r="R675" t="s">
        <v>85</v>
      </c>
      <c r="S675" t="s">
        <v>94</v>
      </c>
      <c r="U675" t="str">
        <f t="shared" si="30"/>
        <v>N km direction of city</v>
      </c>
      <c r="V675" t="str">
        <f t="shared" si="31"/>
        <v>mwb</v>
      </c>
      <c r="X675">
        <f t="shared" si="32"/>
        <v>2005</v>
      </c>
    </row>
    <row r="676" spans="1:24">
      <c r="A676" t="s">
        <v>1131</v>
      </c>
      <c r="B676">
        <v>6.8</v>
      </c>
      <c r="C676" s="1">
        <v>38691.513194444437</v>
      </c>
      <c r="D676">
        <v>5</v>
      </c>
      <c r="E676">
        <v>7</v>
      </c>
      <c r="G676">
        <v>0</v>
      </c>
      <c r="H676">
        <v>744</v>
      </c>
      <c r="I676" t="s">
        <v>46</v>
      </c>
      <c r="J676">
        <v>561</v>
      </c>
      <c r="K676">
        <v>0</v>
      </c>
      <c r="L676">
        <v>20</v>
      </c>
      <c r="M676" t="s">
        <v>13</v>
      </c>
      <c r="N676">
        <v>22</v>
      </c>
      <c r="O676">
        <v>-6.2240000000000002</v>
      </c>
      <c r="P676">
        <v>29.83</v>
      </c>
      <c r="Q676" t="s">
        <v>1132</v>
      </c>
      <c r="R676" t="s">
        <v>497</v>
      </c>
      <c r="S676" t="s">
        <v>1133</v>
      </c>
      <c r="U676" t="str">
        <f t="shared" si="30"/>
        <v>N km direction of city</v>
      </c>
      <c r="V676" t="str">
        <f t="shared" si="31"/>
        <v>mwc</v>
      </c>
      <c r="X676">
        <f t="shared" si="32"/>
        <v>2005</v>
      </c>
    </row>
    <row r="677" spans="1:24">
      <c r="A677" t="s">
        <v>1134</v>
      </c>
      <c r="B677">
        <v>6.5</v>
      </c>
      <c r="C677" s="1">
        <v>38688.550694444442</v>
      </c>
      <c r="D677">
        <v>4</v>
      </c>
      <c r="E677">
        <v>5</v>
      </c>
      <c r="G677">
        <v>0</v>
      </c>
      <c r="H677">
        <v>683</v>
      </c>
      <c r="I677" t="s">
        <v>46</v>
      </c>
      <c r="J677">
        <v>464</v>
      </c>
      <c r="K677">
        <v>0</v>
      </c>
      <c r="L677">
        <v>48.8</v>
      </c>
      <c r="M677" t="s">
        <v>13</v>
      </c>
      <c r="N677">
        <v>29</v>
      </c>
      <c r="O677">
        <v>38.088999999999999</v>
      </c>
      <c r="P677">
        <v>142.12200000000001</v>
      </c>
      <c r="Q677" t="s">
        <v>249</v>
      </c>
      <c r="U677" t="str">
        <f t="shared" si="30"/>
        <v>N km direction of city</v>
      </c>
      <c r="V677" t="str">
        <f t="shared" si="31"/>
        <v>mwc</v>
      </c>
      <c r="X677">
        <f t="shared" si="32"/>
        <v>2005</v>
      </c>
    </row>
    <row r="678" spans="1:24">
      <c r="A678" t="s">
        <v>1135</v>
      </c>
      <c r="B678">
        <v>6.5</v>
      </c>
      <c r="C678" s="1">
        <v>38675.590277777781</v>
      </c>
      <c r="D678">
        <v>3</v>
      </c>
      <c r="E678">
        <v>6</v>
      </c>
      <c r="G678">
        <v>0</v>
      </c>
      <c r="H678">
        <v>651</v>
      </c>
      <c r="I678" t="s">
        <v>46</v>
      </c>
      <c r="J678">
        <v>358</v>
      </c>
      <c r="K678">
        <v>0</v>
      </c>
      <c r="L678">
        <v>20.7</v>
      </c>
      <c r="M678" t="s">
        <v>12</v>
      </c>
      <c r="N678">
        <v>21</v>
      </c>
      <c r="O678">
        <v>2.1640000000000001</v>
      </c>
      <c r="P678">
        <v>96.786000000000001</v>
      </c>
      <c r="Q678" t="s">
        <v>240</v>
      </c>
      <c r="S678" t="s">
        <v>77</v>
      </c>
      <c r="U678" t="str">
        <f t="shared" si="30"/>
        <v>N km direction of city</v>
      </c>
      <c r="V678" t="str">
        <f t="shared" si="31"/>
        <v>mwb</v>
      </c>
      <c r="X678">
        <f t="shared" si="32"/>
        <v>2005</v>
      </c>
    </row>
    <row r="679" spans="1:24">
      <c r="A679" t="s">
        <v>1136</v>
      </c>
      <c r="B679">
        <v>6.8</v>
      </c>
      <c r="C679" s="1">
        <v>38673.80972222222</v>
      </c>
      <c r="D679">
        <v>0</v>
      </c>
      <c r="E679">
        <v>6</v>
      </c>
      <c r="G679">
        <v>0</v>
      </c>
      <c r="H679">
        <v>711</v>
      </c>
      <c r="I679" t="s">
        <v>46</v>
      </c>
      <c r="J679">
        <v>509</v>
      </c>
      <c r="K679">
        <v>0</v>
      </c>
      <c r="L679">
        <v>30.1</v>
      </c>
      <c r="M679" t="s">
        <v>12</v>
      </c>
      <c r="N679">
        <v>147</v>
      </c>
      <c r="O679">
        <v>-22.361000000000001</v>
      </c>
      <c r="P679">
        <v>-67.894999999999996</v>
      </c>
      <c r="Q679" t="s">
        <v>294</v>
      </c>
      <c r="R679" t="s">
        <v>53</v>
      </c>
      <c r="S679" t="s">
        <v>430</v>
      </c>
      <c r="U679" t="str">
        <f t="shared" si="30"/>
        <v>N km direction of city</v>
      </c>
      <c r="V679" t="str">
        <f t="shared" si="31"/>
        <v>mwb</v>
      </c>
      <c r="X679">
        <f t="shared" si="32"/>
        <v>2005</v>
      </c>
    </row>
    <row r="680" spans="1:24">
      <c r="A680" t="s">
        <v>1137</v>
      </c>
      <c r="B680">
        <v>7.6</v>
      </c>
      <c r="C680" s="1">
        <v>38633.159722222219</v>
      </c>
      <c r="D680">
        <v>9</v>
      </c>
      <c r="E680">
        <v>9</v>
      </c>
      <c r="G680">
        <v>0</v>
      </c>
      <c r="H680">
        <v>1267</v>
      </c>
      <c r="I680" t="s">
        <v>46</v>
      </c>
      <c r="J680">
        <v>724</v>
      </c>
      <c r="K680">
        <v>0</v>
      </c>
      <c r="L680">
        <v>21.1</v>
      </c>
      <c r="M680" t="s">
        <v>13</v>
      </c>
      <c r="N680">
        <v>26</v>
      </c>
      <c r="O680">
        <v>34.539000000000001</v>
      </c>
      <c r="P680">
        <v>73.587999999999994</v>
      </c>
      <c r="Q680" t="s">
        <v>1138</v>
      </c>
      <c r="R680" t="s">
        <v>85</v>
      </c>
      <c r="S680" t="s">
        <v>745</v>
      </c>
      <c r="U680" t="str">
        <f t="shared" si="30"/>
        <v>N km direction of city</v>
      </c>
      <c r="V680" t="str">
        <f t="shared" si="31"/>
        <v>mwc</v>
      </c>
      <c r="X680">
        <f t="shared" si="32"/>
        <v>2005</v>
      </c>
    </row>
    <row r="681" spans="1:24">
      <c r="A681" t="s">
        <v>1139</v>
      </c>
      <c r="B681">
        <v>6.6</v>
      </c>
      <c r="C681" s="1">
        <v>38624.659722222219</v>
      </c>
      <c r="D681">
        <v>0</v>
      </c>
      <c r="E681">
        <v>6</v>
      </c>
      <c r="G681">
        <v>0</v>
      </c>
      <c r="H681">
        <v>670</v>
      </c>
      <c r="I681" t="s">
        <v>46</v>
      </c>
      <c r="J681">
        <v>402</v>
      </c>
      <c r="K681">
        <v>0</v>
      </c>
      <c r="L681">
        <v>17.7</v>
      </c>
      <c r="M681" t="s">
        <v>13</v>
      </c>
      <c r="N681">
        <v>25</v>
      </c>
      <c r="O681">
        <v>-5.4370000000000003</v>
      </c>
      <c r="P681">
        <v>151.84</v>
      </c>
      <c r="Q681" t="s">
        <v>434</v>
      </c>
      <c r="S681" t="s">
        <v>89</v>
      </c>
      <c r="U681" t="str">
        <f t="shared" si="30"/>
        <v>N km direction of city</v>
      </c>
      <c r="V681" t="str">
        <f t="shared" si="31"/>
        <v>mwc</v>
      </c>
      <c r="X681">
        <f t="shared" si="32"/>
        <v>2005</v>
      </c>
    </row>
    <row r="682" spans="1:24">
      <c r="A682" t="s">
        <v>1140</v>
      </c>
      <c r="B682">
        <v>7.5</v>
      </c>
      <c r="C682" s="1">
        <v>38621.079861111109</v>
      </c>
      <c r="D682">
        <v>8</v>
      </c>
      <c r="E682">
        <v>7</v>
      </c>
      <c r="G682">
        <v>0</v>
      </c>
      <c r="H682">
        <v>1018</v>
      </c>
      <c r="I682" t="s">
        <v>46</v>
      </c>
      <c r="J682">
        <v>696</v>
      </c>
      <c r="K682">
        <v>0</v>
      </c>
      <c r="L682">
        <v>26.2</v>
      </c>
      <c r="M682" t="s">
        <v>12</v>
      </c>
      <c r="N682">
        <v>115</v>
      </c>
      <c r="O682">
        <v>-5.6779999999999999</v>
      </c>
      <c r="P682">
        <v>-76.397999999999996</v>
      </c>
      <c r="Q682" t="s">
        <v>1141</v>
      </c>
      <c r="R682" t="s">
        <v>53</v>
      </c>
      <c r="S682" t="s">
        <v>164</v>
      </c>
      <c r="U682" t="str">
        <f t="shared" si="30"/>
        <v>N km direction of city</v>
      </c>
      <c r="V682" t="str">
        <f t="shared" si="31"/>
        <v>mwb</v>
      </c>
      <c r="X682">
        <f t="shared" si="32"/>
        <v>2005</v>
      </c>
    </row>
    <row r="683" spans="1:24">
      <c r="A683" t="s">
        <v>1142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46</v>
      </c>
      <c r="J683">
        <v>502</v>
      </c>
      <c r="K683">
        <v>0</v>
      </c>
      <c r="L683">
        <v>20</v>
      </c>
      <c r="M683" t="s">
        <v>13</v>
      </c>
      <c r="N683">
        <v>90</v>
      </c>
      <c r="O683">
        <v>-4.5389999999999997</v>
      </c>
      <c r="P683">
        <v>153.47399999999999</v>
      </c>
      <c r="Q683" t="s">
        <v>434</v>
      </c>
      <c r="S683" t="s">
        <v>89</v>
      </c>
      <c r="U683" t="str">
        <f t="shared" si="30"/>
        <v>N km direction of city</v>
      </c>
      <c r="V683" t="str">
        <f t="shared" si="31"/>
        <v>mwc</v>
      </c>
      <c r="X683">
        <f t="shared" si="32"/>
        <v>2005</v>
      </c>
    </row>
    <row r="684" spans="1:24">
      <c r="A684" t="s">
        <v>1143</v>
      </c>
      <c r="B684">
        <v>7.2</v>
      </c>
      <c r="C684" s="1">
        <v>38580.115277777782</v>
      </c>
      <c r="D684">
        <v>7</v>
      </c>
      <c r="E684">
        <v>7</v>
      </c>
      <c r="G684">
        <v>0</v>
      </c>
      <c r="H684">
        <v>1104</v>
      </c>
      <c r="I684" t="s">
        <v>46</v>
      </c>
      <c r="J684">
        <v>698</v>
      </c>
      <c r="K684">
        <v>0</v>
      </c>
      <c r="L684">
        <v>19.600000000000001</v>
      </c>
      <c r="M684" t="s">
        <v>13</v>
      </c>
      <c r="N684">
        <v>36</v>
      </c>
      <c r="O684">
        <v>38.276000000000003</v>
      </c>
      <c r="P684">
        <v>142.03899999999999</v>
      </c>
      <c r="Q684" t="s">
        <v>249</v>
      </c>
      <c r="U684" t="str">
        <f t="shared" si="30"/>
        <v>N km direction of city</v>
      </c>
      <c r="V684" t="str">
        <f t="shared" si="31"/>
        <v>mwc</v>
      </c>
      <c r="X684">
        <f t="shared" si="32"/>
        <v>2005</v>
      </c>
    </row>
    <row r="685" spans="1:24">
      <c r="A685" t="s">
        <v>1144</v>
      </c>
      <c r="B685">
        <v>7.2</v>
      </c>
      <c r="C685" s="1">
        <v>38557.654166666667</v>
      </c>
      <c r="D685">
        <v>4</v>
      </c>
      <c r="E685">
        <v>5</v>
      </c>
      <c r="G685">
        <v>0</v>
      </c>
      <c r="H685">
        <v>808</v>
      </c>
      <c r="I685" t="s">
        <v>46</v>
      </c>
      <c r="J685">
        <v>636</v>
      </c>
      <c r="K685">
        <v>0</v>
      </c>
      <c r="L685">
        <v>26.4</v>
      </c>
      <c r="M685" t="s">
        <v>13</v>
      </c>
      <c r="N685">
        <v>16</v>
      </c>
      <c r="O685">
        <v>7.92</v>
      </c>
      <c r="P685">
        <v>92.19</v>
      </c>
      <c r="Q685" t="s">
        <v>602</v>
      </c>
      <c r="U685" t="str">
        <f t="shared" si="30"/>
        <v>Named-region</v>
      </c>
      <c r="V685" t="str">
        <f t="shared" si="31"/>
        <v>mwc</v>
      </c>
      <c r="X685">
        <f t="shared" si="32"/>
        <v>2005</v>
      </c>
    </row>
    <row r="686" spans="1:24">
      <c r="A686" t="s">
        <v>1145</v>
      </c>
      <c r="B686">
        <v>6.7</v>
      </c>
      <c r="C686" s="1">
        <v>38538.077777777777</v>
      </c>
      <c r="D686">
        <v>3</v>
      </c>
      <c r="E686">
        <v>6</v>
      </c>
      <c r="G686">
        <v>0</v>
      </c>
      <c r="H686">
        <v>693</v>
      </c>
      <c r="I686" t="s">
        <v>46</v>
      </c>
      <c r="J686">
        <v>398</v>
      </c>
      <c r="K686">
        <v>0</v>
      </c>
      <c r="L686">
        <v>22.3</v>
      </c>
      <c r="M686" t="s">
        <v>13</v>
      </c>
      <c r="N686">
        <v>21</v>
      </c>
      <c r="O686">
        <v>1.819</v>
      </c>
      <c r="P686">
        <v>97.081999999999994</v>
      </c>
      <c r="Q686" t="s">
        <v>1112</v>
      </c>
      <c r="S686" t="s">
        <v>77</v>
      </c>
      <c r="U686" t="str">
        <f t="shared" si="30"/>
        <v>N km direction of city</v>
      </c>
      <c r="V686" t="str">
        <f t="shared" si="31"/>
        <v>mwc</v>
      </c>
      <c r="X686">
        <f t="shared" si="32"/>
        <v>2005</v>
      </c>
    </row>
    <row r="687" spans="1:24">
      <c r="A687" t="s">
        <v>1146</v>
      </c>
      <c r="B687">
        <v>6.6</v>
      </c>
      <c r="C687" s="1">
        <v>38535.094444444447</v>
      </c>
      <c r="D687">
        <v>6</v>
      </c>
      <c r="E687">
        <v>5</v>
      </c>
      <c r="G687">
        <v>0</v>
      </c>
      <c r="H687">
        <v>719</v>
      </c>
      <c r="I687" t="s">
        <v>46</v>
      </c>
      <c r="J687">
        <v>446</v>
      </c>
      <c r="K687">
        <v>0</v>
      </c>
      <c r="L687">
        <v>21.1</v>
      </c>
      <c r="M687" t="s">
        <v>13</v>
      </c>
      <c r="N687">
        <v>27</v>
      </c>
      <c r="O687">
        <v>11.244999999999999</v>
      </c>
      <c r="P687">
        <v>-86.171999999999997</v>
      </c>
      <c r="Q687" t="s">
        <v>1147</v>
      </c>
      <c r="U687" t="str">
        <f t="shared" si="30"/>
        <v>N km direction of city</v>
      </c>
      <c r="V687" t="str">
        <f t="shared" si="31"/>
        <v>mwc</v>
      </c>
      <c r="X687">
        <f t="shared" si="32"/>
        <v>2005</v>
      </c>
    </row>
    <row r="688" spans="1:24">
      <c r="A688" t="s">
        <v>1148</v>
      </c>
      <c r="B688">
        <v>7.2</v>
      </c>
      <c r="C688" s="1">
        <v>38518.118055555547</v>
      </c>
      <c r="D688">
        <v>5</v>
      </c>
      <c r="E688">
        <v>4</v>
      </c>
      <c r="G688">
        <v>0</v>
      </c>
      <c r="H688">
        <v>1318</v>
      </c>
      <c r="I688" t="s">
        <v>46</v>
      </c>
      <c r="J688">
        <v>420</v>
      </c>
      <c r="K688">
        <v>0</v>
      </c>
      <c r="L688">
        <v>31.4</v>
      </c>
      <c r="M688" t="s">
        <v>13</v>
      </c>
      <c r="N688">
        <v>16</v>
      </c>
      <c r="O688">
        <v>41.292000000000002</v>
      </c>
      <c r="P688">
        <v>-125.953</v>
      </c>
      <c r="Q688" t="s">
        <v>1149</v>
      </c>
      <c r="U688" t="str">
        <f t="shared" si="30"/>
        <v>N km direction of city</v>
      </c>
      <c r="V688" t="str">
        <f t="shared" si="31"/>
        <v>mwc</v>
      </c>
      <c r="X688">
        <f t="shared" si="32"/>
        <v>2005</v>
      </c>
    </row>
    <row r="689" spans="1:24">
      <c r="A689" t="s">
        <v>1150</v>
      </c>
      <c r="B689">
        <v>7.8</v>
      </c>
      <c r="C689" s="1">
        <v>38516.947222222218</v>
      </c>
      <c r="D689">
        <v>8</v>
      </c>
      <c r="E689">
        <v>7</v>
      </c>
      <c r="G689">
        <v>0</v>
      </c>
      <c r="H689">
        <v>1020</v>
      </c>
      <c r="I689" t="s">
        <v>46</v>
      </c>
      <c r="J689">
        <v>714</v>
      </c>
      <c r="K689">
        <v>0</v>
      </c>
      <c r="L689">
        <v>16.100000000000001</v>
      </c>
      <c r="M689" t="s">
        <v>12</v>
      </c>
      <c r="N689">
        <v>115.6</v>
      </c>
      <c r="O689">
        <v>-19.986999999999998</v>
      </c>
      <c r="P689">
        <v>-69.197000000000003</v>
      </c>
      <c r="Q689" t="s">
        <v>710</v>
      </c>
      <c r="R689" t="s">
        <v>53</v>
      </c>
      <c r="S689" t="s">
        <v>275</v>
      </c>
      <c r="U689" t="str">
        <f t="shared" si="30"/>
        <v>N km direction of city</v>
      </c>
      <c r="V689" t="str">
        <f t="shared" si="31"/>
        <v>mwb</v>
      </c>
      <c r="X689">
        <f t="shared" si="32"/>
        <v>2005</v>
      </c>
    </row>
    <row r="690" spans="1:24">
      <c r="A690" t="s">
        <v>1151</v>
      </c>
      <c r="B690">
        <v>6.9</v>
      </c>
      <c r="C690" s="1">
        <v>38491.07916666667</v>
      </c>
      <c r="D690">
        <v>5</v>
      </c>
      <c r="E690">
        <v>7</v>
      </c>
      <c r="G690">
        <v>0</v>
      </c>
      <c r="H690">
        <v>740</v>
      </c>
      <c r="I690" t="s">
        <v>46</v>
      </c>
      <c r="J690">
        <v>635</v>
      </c>
      <c r="K690">
        <v>0</v>
      </c>
      <c r="L690">
        <v>26</v>
      </c>
      <c r="M690" t="s">
        <v>13</v>
      </c>
      <c r="N690">
        <v>30</v>
      </c>
      <c r="O690">
        <v>1.9890000000000001</v>
      </c>
      <c r="P690">
        <v>97.040999999999997</v>
      </c>
      <c r="Q690" t="s">
        <v>1112</v>
      </c>
      <c r="S690" t="s">
        <v>77</v>
      </c>
      <c r="U690" t="str">
        <f t="shared" si="30"/>
        <v>N km direction of city</v>
      </c>
      <c r="V690" t="str">
        <f t="shared" si="31"/>
        <v>mwc</v>
      </c>
      <c r="X690">
        <f t="shared" si="32"/>
        <v>2005</v>
      </c>
    </row>
    <row r="691" spans="1:24">
      <c r="A691" t="s">
        <v>1152</v>
      </c>
      <c r="B691">
        <v>6.7</v>
      </c>
      <c r="C691" s="1">
        <v>38486.211805555547</v>
      </c>
      <c r="D691">
        <v>6</v>
      </c>
      <c r="E691">
        <v>5</v>
      </c>
      <c r="G691">
        <v>0</v>
      </c>
      <c r="H691">
        <v>731</v>
      </c>
      <c r="I691" t="s">
        <v>46</v>
      </c>
      <c r="J691">
        <v>695</v>
      </c>
      <c r="K691">
        <v>0</v>
      </c>
      <c r="L691">
        <v>20.9</v>
      </c>
      <c r="M691" t="s">
        <v>12</v>
      </c>
      <c r="N691">
        <v>34</v>
      </c>
      <c r="O691">
        <v>0.58699999999999997</v>
      </c>
      <c r="P691">
        <v>98.459000000000003</v>
      </c>
      <c r="Q691" t="s">
        <v>1153</v>
      </c>
      <c r="S691" t="s">
        <v>77</v>
      </c>
      <c r="U691" t="str">
        <f t="shared" si="30"/>
        <v>N km direction of city</v>
      </c>
      <c r="V691" t="str">
        <f t="shared" si="31"/>
        <v>mwb</v>
      </c>
      <c r="X691">
        <f t="shared" si="32"/>
        <v>2005</v>
      </c>
    </row>
    <row r="692" spans="1:24">
      <c r="A692" t="s">
        <v>1154</v>
      </c>
      <c r="B692">
        <v>6.5</v>
      </c>
      <c r="C692" s="1">
        <v>38452.468055555553</v>
      </c>
      <c r="D692">
        <v>3</v>
      </c>
      <c r="E692">
        <v>6</v>
      </c>
      <c r="G692">
        <v>0</v>
      </c>
      <c r="H692">
        <v>657</v>
      </c>
      <c r="I692" t="s">
        <v>46</v>
      </c>
      <c r="J692">
        <v>478</v>
      </c>
      <c r="K692">
        <v>0</v>
      </c>
      <c r="L692">
        <v>21.2</v>
      </c>
      <c r="M692" t="s">
        <v>13</v>
      </c>
      <c r="N692">
        <v>30</v>
      </c>
      <c r="O692">
        <v>-1.714</v>
      </c>
      <c r="P692">
        <v>99.778999999999996</v>
      </c>
      <c r="Q692" t="s">
        <v>981</v>
      </c>
      <c r="S692" t="s">
        <v>77</v>
      </c>
      <c r="U692" t="str">
        <f t="shared" si="30"/>
        <v>N km direction of city</v>
      </c>
      <c r="V692" t="str">
        <f t="shared" si="31"/>
        <v>mwc</v>
      </c>
      <c r="X692">
        <f t="shared" si="32"/>
        <v>2005</v>
      </c>
    </row>
    <row r="693" spans="1:24">
      <c r="A693" t="s">
        <v>1155</v>
      </c>
      <c r="B693">
        <v>6.7</v>
      </c>
      <c r="C693" s="1">
        <v>38452.436805555553</v>
      </c>
      <c r="D693">
        <v>5</v>
      </c>
      <c r="E693">
        <v>6</v>
      </c>
      <c r="G693">
        <v>0</v>
      </c>
      <c r="H693">
        <v>717</v>
      </c>
      <c r="I693" t="s">
        <v>46</v>
      </c>
      <c r="J693">
        <v>656</v>
      </c>
      <c r="K693">
        <v>0</v>
      </c>
      <c r="L693">
        <v>21.2</v>
      </c>
      <c r="M693" t="s">
        <v>13</v>
      </c>
      <c r="N693">
        <v>19</v>
      </c>
      <c r="O693">
        <v>-1.6439999999999999</v>
      </c>
      <c r="P693">
        <v>99.606999999999999</v>
      </c>
      <c r="Q693" t="s">
        <v>981</v>
      </c>
      <c r="S693" t="s">
        <v>77</v>
      </c>
      <c r="U693" t="str">
        <f t="shared" si="30"/>
        <v>N km direction of city</v>
      </c>
      <c r="V693" t="str">
        <f t="shared" si="31"/>
        <v>mwc</v>
      </c>
      <c r="X693">
        <f t="shared" si="32"/>
        <v>2005</v>
      </c>
    </row>
    <row r="694" spans="1:24">
      <c r="A694" t="s">
        <v>1156</v>
      </c>
      <c r="B694">
        <v>8.6</v>
      </c>
      <c r="C694" s="1">
        <v>38439.67291666667</v>
      </c>
      <c r="D694">
        <v>0</v>
      </c>
      <c r="E694">
        <v>8</v>
      </c>
      <c r="G694">
        <v>0</v>
      </c>
      <c r="H694">
        <v>1138</v>
      </c>
      <c r="I694" t="s">
        <v>839</v>
      </c>
      <c r="J694">
        <v>510</v>
      </c>
      <c r="K694">
        <v>0</v>
      </c>
      <c r="L694">
        <v>22.1</v>
      </c>
      <c r="M694" t="s">
        <v>14</v>
      </c>
      <c r="N694">
        <v>30</v>
      </c>
      <c r="O694">
        <v>2.085</v>
      </c>
      <c r="P694">
        <v>97.108000000000004</v>
      </c>
      <c r="Q694" t="s">
        <v>1112</v>
      </c>
      <c r="S694" t="s">
        <v>77</v>
      </c>
      <c r="U694" t="str">
        <f t="shared" si="30"/>
        <v>N km direction of city</v>
      </c>
      <c r="V694" t="str">
        <f t="shared" si="31"/>
        <v>mww</v>
      </c>
      <c r="X694">
        <f t="shared" si="32"/>
        <v>2005</v>
      </c>
    </row>
    <row r="695" spans="1:24">
      <c r="A695" t="s">
        <v>1157</v>
      </c>
      <c r="B695">
        <v>6.6</v>
      </c>
      <c r="C695" s="1">
        <v>38431.078472222223</v>
      </c>
      <c r="D695">
        <v>8</v>
      </c>
      <c r="E695">
        <v>7</v>
      </c>
      <c r="G695">
        <v>0</v>
      </c>
      <c r="H695">
        <v>805</v>
      </c>
      <c r="I695" t="s">
        <v>46</v>
      </c>
      <c r="J695">
        <v>401</v>
      </c>
      <c r="K695">
        <v>0</v>
      </c>
      <c r="L695">
        <v>22.9</v>
      </c>
      <c r="M695" t="s">
        <v>13</v>
      </c>
      <c r="N695">
        <v>10</v>
      </c>
      <c r="O695">
        <v>33.807000000000002</v>
      </c>
      <c r="P695">
        <v>130.131</v>
      </c>
      <c r="Q695" t="s">
        <v>1158</v>
      </c>
      <c r="R695" t="s">
        <v>85</v>
      </c>
      <c r="S695" t="s">
        <v>243</v>
      </c>
      <c r="U695" t="str">
        <f t="shared" si="30"/>
        <v>N km direction of city</v>
      </c>
      <c r="V695" t="str">
        <f t="shared" si="31"/>
        <v>mwc</v>
      </c>
      <c r="X695">
        <f t="shared" si="32"/>
        <v>2005</v>
      </c>
    </row>
    <row r="696" spans="1:24">
      <c r="A696" t="s">
        <v>801</v>
      </c>
      <c r="B696">
        <v>7.1</v>
      </c>
      <c r="C696" s="1">
        <v>38413.445833333331</v>
      </c>
      <c r="D696">
        <v>0</v>
      </c>
      <c r="E696">
        <v>5</v>
      </c>
      <c r="G696">
        <v>0</v>
      </c>
      <c r="H696">
        <v>776</v>
      </c>
      <c r="I696" t="s">
        <v>46</v>
      </c>
      <c r="J696">
        <v>569</v>
      </c>
      <c r="K696">
        <v>0</v>
      </c>
      <c r="L696">
        <v>18.100000000000001</v>
      </c>
      <c r="M696" t="s">
        <v>12</v>
      </c>
      <c r="N696">
        <v>201.7</v>
      </c>
      <c r="O696">
        <v>-6.5270000000000001</v>
      </c>
      <c r="P696">
        <v>129.93299999999999</v>
      </c>
      <c r="Q696" t="s">
        <v>301</v>
      </c>
      <c r="S696" t="s">
        <v>77</v>
      </c>
      <c r="U696" t="str">
        <f t="shared" si="30"/>
        <v>Named-region</v>
      </c>
      <c r="V696" t="str">
        <f t="shared" si="31"/>
        <v>mwb</v>
      </c>
      <c r="X696">
        <f t="shared" si="32"/>
        <v>2005</v>
      </c>
    </row>
    <row r="697" spans="1:24">
      <c r="A697" t="s">
        <v>1159</v>
      </c>
      <c r="B697">
        <v>6.8</v>
      </c>
      <c r="C697" s="1">
        <v>38409.538888888892</v>
      </c>
      <c r="D697">
        <v>0</v>
      </c>
      <c r="E697">
        <v>6</v>
      </c>
      <c r="G697">
        <v>0</v>
      </c>
      <c r="H697">
        <v>711</v>
      </c>
      <c r="I697" t="s">
        <v>46</v>
      </c>
      <c r="J697">
        <v>444</v>
      </c>
      <c r="K697">
        <v>0</v>
      </c>
      <c r="L697">
        <v>33.799999999999997</v>
      </c>
      <c r="M697" t="s">
        <v>12</v>
      </c>
      <c r="N697">
        <v>36</v>
      </c>
      <c r="O697">
        <v>2.9079999999999999</v>
      </c>
      <c r="P697">
        <v>95.591999999999999</v>
      </c>
      <c r="Q697" t="s">
        <v>240</v>
      </c>
      <c r="S697" t="s">
        <v>77</v>
      </c>
      <c r="U697" t="str">
        <f t="shared" si="30"/>
        <v>N km direction of city</v>
      </c>
      <c r="V697" t="str">
        <f t="shared" si="31"/>
        <v>mwb</v>
      </c>
      <c r="X697">
        <f t="shared" si="32"/>
        <v>2005</v>
      </c>
    </row>
    <row r="698" spans="1:24">
      <c r="A698" t="s">
        <v>1160</v>
      </c>
      <c r="B698">
        <v>6.5</v>
      </c>
      <c r="C698" s="1">
        <v>38402.00277777778</v>
      </c>
      <c r="D698">
        <v>0</v>
      </c>
      <c r="E698">
        <v>7</v>
      </c>
      <c r="G698">
        <v>0</v>
      </c>
      <c r="H698">
        <v>650</v>
      </c>
      <c r="I698" t="s">
        <v>46</v>
      </c>
      <c r="J698">
        <v>371</v>
      </c>
      <c r="K698">
        <v>0</v>
      </c>
      <c r="L698">
        <v>31.8</v>
      </c>
      <c r="M698" t="s">
        <v>12</v>
      </c>
      <c r="N698">
        <v>10</v>
      </c>
      <c r="O698">
        <v>-5.5620000000000003</v>
      </c>
      <c r="P698">
        <v>122.129</v>
      </c>
      <c r="Q698" t="s">
        <v>278</v>
      </c>
      <c r="S698" t="s">
        <v>77</v>
      </c>
      <c r="U698" t="str">
        <f t="shared" si="30"/>
        <v>N km direction of city</v>
      </c>
      <c r="V698" t="str">
        <f t="shared" si="31"/>
        <v>mwb</v>
      </c>
      <c r="X698">
        <f t="shared" si="32"/>
        <v>2005</v>
      </c>
    </row>
    <row r="699" spans="1:24">
      <c r="A699" t="s">
        <v>1161</v>
      </c>
      <c r="B699">
        <v>6.5</v>
      </c>
      <c r="C699" s="1">
        <v>38398.612500000003</v>
      </c>
      <c r="D699">
        <v>3</v>
      </c>
      <c r="E699">
        <v>5</v>
      </c>
      <c r="G699">
        <v>0</v>
      </c>
      <c r="H699">
        <v>652</v>
      </c>
      <c r="I699" t="s">
        <v>46</v>
      </c>
      <c r="J699">
        <v>286</v>
      </c>
      <c r="K699">
        <v>0</v>
      </c>
      <c r="L699">
        <v>47.3</v>
      </c>
      <c r="M699" t="s">
        <v>13</v>
      </c>
      <c r="N699">
        <v>39.700000000000003</v>
      </c>
      <c r="O699">
        <v>4.7560000000000002</v>
      </c>
      <c r="P699">
        <v>126.42100000000001</v>
      </c>
      <c r="Q699" t="s">
        <v>1162</v>
      </c>
      <c r="S699" t="s">
        <v>77</v>
      </c>
      <c r="U699" t="str">
        <f t="shared" si="30"/>
        <v>Named-region</v>
      </c>
      <c r="V699" t="str">
        <f t="shared" si="31"/>
        <v>mwc</v>
      </c>
      <c r="X699">
        <f t="shared" si="32"/>
        <v>2005</v>
      </c>
    </row>
    <row r="700" spans="1:24">
      <c r="A700" t="s">
        <v>1163</v>
      </c>
      <c r="B700">
        <v>6.7</v>
      </c>
      <c r="C700" s="1">
        <v>38391.616666666669</v>
      </c>
      <c r="D700">
        <v>0</v>
      </c>
      <c r="E700">
        <v>4</v>
      </c>
      <c r="G700">
        <v>0</v>
      </c>
      <c r="H700">
        <v>691</v>
      </c>
      <c r="I700" t="s">
        <v>46</v>
      </c>
      <c r="J700">
        <v>457</v>
      </c>
      <c r="K700">
        <v>0</v>
      </c>
      <c r="L700">
        <v>30.2</v>
      </c>
      <c r="M700" t="s">
        <v>12</v>
      </c>
      <c r="N700">
        <v>206.3</v>
      </c>
      <c r="O700">
        <v>-14.252000000000001</v>
      </c>
      <c r="P700">
        <v>167.25899999999999</v>
      </c>
      <c r="Q700" t="s">
        <v>47</v>
      </c>
      <c r="S700" t="s">
        <v>48</v>
      </c>
      <c r="U700" t="str">
        <f t="shared" si="30"/>
        <v>N km direction of city</v>
      </c>
      <c r="V700" t="str">
        <f t="shared" si="31"/>
        <v>mwb</v>
      </c>
      <c r="X700">
        <f t="shared" si="32"/>
        <v>2005</v>
      </c>
    </row>
    <row r="701" spans="1:24">
      <c r="A701" t="s">
        <v>1164</v>
      </c>
      <c r="B701">
        <v>7.1</v>
      </c>
      <c r="C701" s="1">
        <v>38388.515972222223</v>
      </c>
      <c r="D701">
        <v>7</v>
      </c>
      <c r="E701">
        <v>3</v>
      </c>
      <c r="G701">
        <v>0</v>
      </c>
      <c r="H701">
        <v>782</v>
      </c>
      <c r="I701" t="s">
        <v>46</v>
      </c>
      <c r="J701">
        <v>640</v>
      </c>
      <c r="K701">
        <v>0</v>
      </c>
      <c r="L701">
        <v>26.4</v>
      </c>
      <c r="M701" t="s">
        <v>13</v>
      </c>
      <c r="N701">
        <v>525</v>
      </c>
      <c r="O701">
        <v>5.2930000000000001</v>
      </c>
      <c r="P701">
        <v>123.337</v>
      </c>
      <c r="Q701" t="s">
        <v>1165</v>
      </c>
      <c r="U701" t="str">
        <f t="shared" si="30"/>
        <v>N km direction of city</v>
      </c>
      <c r="V701" t="str">
        <f t="shared" si="31"/>
        <v>mwc</v>
      </c>
      <c r="X701">
        <f t="shared" si="32"/>
        <v>2005</v>
      </c>
    </row>
    <row r="702" spans="1:24">
      <c r="A702" t="s">
        <v>1166</v>
      </c>
      <c r="B702">
        <v>6.6</v>
      </c>
      <c r="C702" s="1">
        <v>38371.257638888892</v>
      </c>
      <c r="D702">
        <v>6</v>
      </c>
      <c r="E702">
        <v>4</v>
      </c>
      <c r="G702">
        <v>0</v>
      </c>
      <c r="H702">
        <v>676</v>
      </c>
      <c r="I702" t="s">
        <v>46</v>
      </c>
      <c r="J702">
        <v>225</v>
      </c>
      <c r="K702">
        <v>0</v>
      </c>
      <c r="L702">
        <v>78.5</v>
      </c>
      <c r="M702" t="s">
        <v>13</v>
      </c>
      <c r="N702">
        <v>27.8</v>
      </c>
      <c r="O702">
        <v>34.064</v>
      </c>
      <c r="P702">
        <v>141.49100000000001</v>
      </c>
      <c r="Q702" t="s">
        <v>1167</v>
      </c>
      <c r="U702" t="str">
        <f t="shared" si="30"/>
        <v>N km direction of city</v>
      </c>
      <c r="V702" t="str">
        <f t="shared" si="31"/>
        <v>mwc</v>
      </c>
      <c r="X702">
        <f t="shared" si="32"/>
        <v>2005</v>
      </c>
    </row>
    <row r="703" spans="1:24">
      <c r="A703" t="s">
        <v>601</v>
      </c>
      <c r="B703">
        <v>6.6</v>
      </c>
      <c r="C703" s="1">
        <v>38347.388888888891</v>
      </c>
      <c r="D703">
        <v>0</v>
      </c>
      <c r="E703">
        <v>5</v>
      </c>
      <c r="G703">
        <v>0</v>
      </c>
      <c r="H703">
        <v>670</v>
      </c>
      <c r="I703" t="s">
        <v>46</v>
      </c>
      <c r="J703">
        <v>353</v>
      </c>
      <c r="K703">
        <v>0</v>
      </c>
      <c r="L703">
        <v>31.9</v>
      </c>
      <c r="M703" t="s">
        <v>13</v>
      </c>
      <c r="N703">
        <v>16.100000000000001</v>
      </c>
      <c r="O703">
        <v>8.8789999999999996</v>
      </c>
      <c r="P703">
        <v>92.375</v>
      </c>
      <c r="Q703" t="s">
        <v>602</v>
      </c>
      <c r="U703" t="str">
        <f t="shared" si="30"/>
        <v>Named-region</v>
      </c>
      <c r="V703" t="str">
        <f t="shared" si="31"/>
        <v>mwc</v>
      </c>
      <c r="X703">
        <f t="shared" si="32"/>
        <v>2004</v>
      </c>
    </row>
    <row r="704" spans="1:24">
      <c r="A704" t="s">
        <v>1168</v>
      </c>
      <c r="B704">
        <v>7.2</v>
      </c>
      <c r="C704" s="1">
        <v>38347.181250000001</v>
      </c>
      <c r="D704">
        <v>5</v>
      </c>
      <c r="E704">
        <v>6</v>
      </c>
      <c r="G704">
        <v>0</v>
      </c>
      <c r="H704">
        <v>802</v>
      </c>
      <c r="I704" t="s">
        <v>46</v>
      </c>
      <c r="J704">
        <v>385</v>
      </c>
      <c r="K704">
        <v>0</v>
      </c>
      <c r="L704">
        <v>27.9</v>
      </c>
      <c r="M704" t="s">
        <v>13</v>
      </c>
      <c r="N704">
        <v>39.200000000000003</v>
      </c>
      <c r="O704">
        <v>6.91</v>
      </c>
      <c r="P704">
        <v>92.957999999999998</v>
      </c>
      <c r="Q704" t="s">
        <v>1169</v>
      </c>
      <c r="U704" t="str">
        <f t="shared" si="30"/>
        <v>N km direction of city</v>
      </c>
      <c r="V704" t="str">
        <f t="shared" si="31"/>
        <v>mwc</v>
      </c>
      <c r="X704">
        <f t="shared" si="32"/>
        <v>2004</v>
      </c>
    </row>
    <row r="705" spans="1:24">
      <c r="A705" t="s">
        <v>1170</v>
      </c>
      <c r="B705">
        <v>9.1</v>
      </c>
      <c r="C705" s="1">
        <v>38347.040277777778</v>
      </c>
      <c r="D705">
        <v>0</v>
      </c>
      <c r="E705">
        <v>8</v>
      </c>
      <c r="G705">
        <v>0</v>
      </c>
      <c r="H705">
        <v>1274</v>
      </c>
      <c r="I705" t="s">
        <v>839</v>
      </c>
      <c r="J705">
        <v>601</v>
      </c>
      <c r="K705">
        <v>0</v>
      </c>
      <c r="L705">
        <v>22</v>
      </c>
      <c r="M705" t="s">
        <v>11</v>
      </c>
      <c r="N705">
        <v>30</v>
      </c>
      <c r="O705">
        <v>3.2949999999999999</v>
      </c>
      <c r="P705">
        <v>95.981999999999999</v>
      </c>
      <c r="Q705" t="s">
        <v>1171</v>
      </c>
      <c r="S705" t="s">
        <v>77</v>
      </c>
      <c r="U705" t="str">
        <f t="shared" si="30"/>
        <v>Named-region</v>
      </c>
      <c r="V705" t="str">
        <f t="shared" si="31"/>
        <v>mw</v>
      </c>
      <c r="X705">
        <f t="shared" si="32"/>
        <v>2004</v>
      </c>
    </row>
    <row r="706" spans="1:24">
      <c r="A706" t="s">
        <v>1172</v>
      </c>
      <c r="B706">
        <v>8.1</v>
      </c>
      <c r="C706" s="1">
        <v>38344.624305555553</v>
      </c>
      <c r="D706">
        <v>0</v>
      </c>
      <c r="E706">
        <v>5</v>
      </c>
      <c r="G706">
        <v>0</v>
      </c>
      <c r="H706">
        <v>1009</v>
      </c>
      <c r="I706" t="s">
        <v>46</v>
      </c>
      <c r="J706">
        <v>331</v>
      </c>
      <c r="K706">
        <v>0</v>
      </c>
      <c r="L706">
        <v>59.3</v>
      </c>
      <c r="M706" t="s">
        <v>13</v>
      </c>
      <c r="N706">
        <v>10</v>
      </c>
      <c r="O706">
        <v>-49.311999999999998</v>
      </c>
      <c r="P706">
        <v>161.345</v>
      </c>
      <c r="Q706" t="s">
        <v>1173</v>
      </c>
      <c r="U706" t="str">
        <f t="shared" ref="U706:U769" si="33">IF(ISNUMBER(SEARCH("km",A706)),"N km direction of city","Named-region")</f>
        <v>Named-region</v>
      </c>
      <c r="V706" t="str">
        <f t="shared" ref="V706:V769" si="34">LOWER(M706)</f>
        <v>mwc</v>
      </c>
      <c r="X706">
        <f t="shared" ref="X706:X769" si="35">YEAR(C706)</f>
        <v>2004</v>
      </c>
    </row>
    <row r="707" spans="1:24">
      <c r="A707" t="s">
        <v>1174</v>
      </c>
      <c r="B707">
        <v>6.8</v>
      </c>
      <c r="C707" s="1">
        <v>38335.972222222219</v>
      </c>
      <c r="D707">
        <v>5</v>
      </c>
      <c r="E707">
        <v>6</v>
      </c>
      <c r="G707">
        <v>0</v>
      </c>
      <c r="H707">
        <v>858</v>
      </c>
      <c r="I707" t="s">
        <v>46</v>
      </c>
      <c r="J707">
        <v>639</v>
      </c>
      <c r="K707">
        <v>0</v>
      </c>
      <c r="L707">
        <v>21.8</v>
      </c>
      <c r="M707" t="s">
        <v>12</v>
      </c>
      <c r="N707">
        <v>10</v>
      </c>
      <c r="O707">
        <v>18.957999999999998</v>
      </c>
      <c r="P707">
        <v>-81.409000000000006</v>
      </c>
      <c r="Q707" t="s">
        <v>1175</v>
      </c>
      <c r="U707" t="str">
        <f t="shared" si="33"/>
        <v>N km direction of city</v>
      </c>
      <c r="V707" t="str">
        <f t="shared" si="34"/>
        <v>mwb</v>
      </c>
      <c r="X707">
        <f t="shared" si="35"/>
        <v>2004</v>
      </c>
    </row>
    <row r="708" spans="1:24">
      <c r="A708" t="s">
        <v>1176</v>
      </c>
      <c r="B708">
        <v>6.8</v>
      </c>
      <c r="C708" s="1">
        <v>38327.59375</v>
      </c>
      <c r="D708">
        <v>4</v>
      </c>
      <c r="E708">
        <v>7</v>
      </c>
      <c r="G708">
        <v>0</v>
      </c>
      <c r="H708">
        <v>724</v>
      </c>
      <c r="I708" t="s">
        <v>46</v>
      </c>
      <c r="J708">
        <v>759</v>
      </c>
      <c r="K708">
        <v>0</v>
      </c>
      <c r="L708">
        <v>23.6</v>
      </c>
      <c r="M708" t="s">
        <v>12</v>
      </c>
      <c r="N708">
        <v>35</v>
      </c>
      <c r="O708">
        <v>42.9</v>
      </c>
      <c r="P708">
        <v>145.22800000000001</v>
      </c>
      <c r="Q708" t="s">
        <v>1177</v>
      </c>
      <c r="R708" t="s">
        <v>85</v>
      </c>
      <c r="S708" t="s">
        <v>243</v>
      </c>
      <c r="U708" t="str">
        <f t="shared" si="33"/>
        <v>N km direction of city</v>
      </c>
      <c r="V708" t="str">
        <f t="shared" si="34"/>
        <v>mwb</v>
      </c>
      <c r="X708">
        <f t="shared" si="35"/>
        <v>2004</v>
      </c>
    </row>
    <row r="709" spans="1:24">
      <c r="A709" t="s">
        <v>1178</v>
      </c>
      <c r="B709">
        <v>7</v>
      </c>
      <c r="C709" s="1">
        <v>38319.772222222222</v>
      </c>
      <c r="D709">
        <v>4</v>
      </c>
      <c r="E709">
        <v>7</v>
      </c>
      <c r="G709">
        <v>0</v>
      </c>
      <c r="H709">
        <v>771</v>
      </c>
      <c r="I709" t="s">
        <v>46</v>
      </c>
      <c r="J709">
        <v>929</v>
      </c>
      <c r="K709">
        <v>0</v>
      </c>
      <c r="L709">
        <v>23.9</v>
      </c>
      <c r="M709" t="s">
        <v>12</v>
      </c>
      <c r="N709">
        <v>39</v>
      </c>
      <c r="O709">
        <v>43.006</v>
      </c>
      <c r="P709">
        <v>145.119</v>
      </c>
      <c r="Q709" t="s">
        <v>1177</v>
      </c>
      <c r="R709" t="s">
        <v>85</v>
      </c>
      <c r="S709" t="s">
        <v>243</v>
      </c>
      <c r="U709" t="str">
        <f t="shared" si="33"/>
        <v>N km direction of city</v>
      </c>
      <c r="V709" t="str">
        <f t="shared" si="34"/>
        <v>mwb</v>
      </c>
      <c r="X709">
        <f t="shared" si="35"/>
        <v>2004</v>
      </c>
    </row>
    <row r="710" spans="1:24">
      <c r="A710" t="s">
        <v>1179</v>
      </c>
      <c r="B710">
        <v>7.1</v>
      </c>
      <c r="C710" s="1">
        <v>38317.100694444453</v>
      </c>
      <c r="D710">
        <v>0</v>
      </c>
      <c r="E710">
        <v>7</v>
      </c>
      <c r="G710">
        <v>0</v>
      </c>
      <c r="H710">
        <v>776</v>
      </c>
      <c r="I710" t="s">
        <v>46</v>
      </c>
      <c r="J710">
        <v>439</v>
      </c>
      <c r="K710">
        <v>0</v>
      </c>
      <c r="L710">
        <v>28.8</v>
      </c>
      <c r="M710" t="s">
        <v>13</v>
      </c>
      <c r="N710">
        <v>10</v>
      </c>
      <c r="O710">
        <v>-3.609</v>
      </c>
      <c r="P710">
        <v>135.404</v>
      </c>
      <c r="Q710" t="s">
        <v>1180</v>
      </c>
      <c r="S710" t="s">
        <v>77</v>
      </c>
      <c r="U710" t="str">
        <f t="shared" si="33"/>
        <v>N km direction of city</v>
      </c>
      <c r="V710" t="str">
        <f t="shared" si="34"/>
        <v>mwc</v>
      </c>
      <c r="X710">
        <f t="shared" si="35"/>
        <v>2004</v>
      </c>
    </row>
    <row r="711" spans="1:24">
      <c r="A711" t="s">
        <v>1181</v>
      </c>
      <c r="B711">
        <v>7.1</v>
      </c>
      <c r="C711" s="1">
        <v>38313.851388888892</v>
      </c>
      <c r="D711">
        <v>5</v>
      </c>
      <c r="E711">
        <v>5</v>
      </c>
      <c r="G711">
        <v>0</v>
      </c>
      <c r="H711">
        <v>782</v>
      </c>
      <c r="I711" t="s">
        <v>46</v>
      </c>
      <c r="J711">
        <v>585</v>
      </c>
      <c r="K711">
        <v>0</v>
      </c>
      <c r="L711">
        <v>14.7</v>
      </c>
      <c r="M711" t="s">
        <v>13</v>
      </c>
      <c r="N711">
        <v>10</v>
      </c>
      <c r="O711">
        <v>-46.676000000000002</v>
      </c>
      <c r="P711">
        <v>164.721</v>
      </c>
      <c r="Q711" t="s">
        <v>1182</v>
      </c>
      <c r="U711" t="str">
        <f t="shared" si="33"/>
        <v>N km direction of city</v>
      </c>
      <c r="V711" t="str">
        <f t="shared" si="34"/>
        <v>mwc</v>
      </c>
      <c r="X711">
        <f t="shared" si="35"/>
        <v>2004</v>
      </c>
    </row>
    <row r="712" spans="1:24">
      <c r="A712" t="s">
        <v>1183</v>
      </c>
      <c r="B712">
        <v>7.2</v>
      </c>
      <c r="C712" s="1">
        <v>38306.379166666673</v>
      </c>
      <c r="D712">
        <v>8</v>
      </c>
      <c r="E712">
        <v>8</v>
      </c>
      <c r="G712">
        <v>0</v>
      </c>
      <c r="H712">
        <v>820</v>
      </c>
      <c r="I712" t="s">
        <v>46</v>
      </c>
      <c r="J712">
        <v>708</v>
      </c>
      <c r="K712">
        <v>0</v>
      </c>
      <c r="L712">
        <v>50.2</v>
      </c>
      <c r="M712" t="s">
        <v>12</v>
      </c>
      <c r="N712">
        <v>15</v>
      </c>
      <c r="O712">
        <v>4.6950000000000003</v>
      </c>
      <c r="P712">
        <v>-77.507999999999996</v>
      </c>
      <c r="Q712" t="s">
        <v>1184</v>
      </c>
      <c r="S712" t="s">
        <v>68</v>
      </c>
      <c r="U712" t="str">
        <f t="shared" si="33"/>
        <v>N km direction of city</v>
      </c>
      <c r="V712" t="str">
        <f t="shared" si="34"/>
        <v>mwb</v>
      </c>
      <c r="X712">
        <f t="shared" si="35"/>
        <v>2004</v>
      </c>
    </row>
    <row r="713" spans="1:24">
      <c r="A713" t="s">
        <v>1185</v>
      </c>
      <c r="B713">
        <v>7.5</v>
      </c>
      <c r="C713" s="1">
        <v>38302.893055555563</v>
      </c>
      <c r="D713">
        <v>5</v>
      </c>
      <c r="E713">
        <v>7</v>
      </c>
      <c r="G713">
        <v>0</v>
      </c>
      <c r="H713">
        <v>870</v>
      </c>
      <c r="I713" t="s">
        <v>46</v>
      </c>
      <c r="J713">
        <v>301</v>
      </c>
      <c r="K713">
        <v>0</v>
      </c>
      <c r="L713">
        <v>33.799999999999997</v>
      </c>
      <c r="M713" t="s">
        <v>13</v>
      </c>
      <c r="N713">
        <v>10</v>
      </c>
      <c r="O713">
        <v>-8.1519999999999992</v>
      </c>
      <c r="P713">
        <v>124.86799999999999</v>
      </c>
      <c r="Q713" t="s">
        <v>606</v>
      </c>
      <c r="S713" t="s">
        <v>77</v>
      </c>
      <c r="U713" t="str">
        <f t="shared" si="33"/>
        <v>N km direction of city</v>
      </c>
      <c r="V713" t="str">
        <f t="shared" si="34"/>
        <v>mwc</v>
      </c>
      <c r="X713">
        <f t="shared" si="35"/>
        <v>2004</v>
      </c>
    </row>
    <row r="714" spans="1:24">
      <c r="A714" t="s">
        <v>1186</v>
      </c>
      <c r="B714">
        <v>6.7</v>
      </c>
      <c r="C714" s="1">
        <v>38302.731944444437</v>
      </c>
      <c r="D714">
        <v>0</v>
      </c>
      <c r="E714">
        <v>6</v>
      </c>
      <c r="G714">
        <v>0</v>
      </c>
      <c r="H714">
        <v>691</v>
      </c>
      <c r="I714" t="s">
        <v>46</v>
      </c>
      <c r="J714">
        <v>233</v>
      </c>
      <c r="K714">
        <v>0</v>
      </c>
      <c r="L714">
        <v>21.5</v>
      </c>
      <c r="M714" t="s">
        <v>12</v>
      </c>
      <c r="N714">
        <v>10</v>
      </c>
      <c r="O714">
        <v>-11.128</v>
      </c>
      <c r="P714">
        <v>162.208</v>
      </c>
      <c r="Q714" t="s">
        <v>406</v>
      </c>
      <c r="U714" t="str">
        <f t="shared" si="33"/>
        <v>N km direction of city</v>
      </c>
      <c r="V714" t="str">
        <f t="shared" si="34"/>
        <v>mwb</v>
      </c>
      <c r="X714">
        <f t="shared" si="35"/>
        <v>2004</v>
      </c>
    </row>
    <row r="715" spans="1:24">
      <c r="A715" t="s">
        <v>1187</v>
      </c>
      <c r="B715">
        <v>6.7</v>
      </c>
      <c r="C715" s="1">
        <v>38293.418055555558</v>
      </c>
      <c r="D715">
        <v>7</v>
      </c>
      <c r="E715">
        <v>4</v>
      </c>
      <c r="G715">
        <v>0</v>
      </c>
      <c r="H715">
        <v>703</v>
      </c>
      <c r="I715" t="s">
        <v>46</v>
      </c>
      <c r="J715">
        <v>459</v>
      </c>
      <c r="K715">
        <v>0</v>
      </c>
      <c r="L715">
        <v>37.299999999999997</v>
      </c>
      <c r="M715" t="s">
        <v>12</v>
      </c>
      <c r="N715">
        <v>10</v>
      </c>
      <c r="O715">
        <v>49.277000000000001</v>
      </c>
      <c r="P715">
        <v>-128.77199999999999</v>
      </c>
      <c r="Q715" t="s">
        <v>392</v>
      </c>
      <c r="U715" t="str">
        <f t="shared" si="33"/>
        <v>N km direction of city</v>
      </c>
      <c r="V715" t="str">
        <f t="shared" si="34"/>
        <v>mwb</v>
      </c>
      <c r="X715">
        <f t="shared" si="35"/>
        <v>2004</v>
      </c>
    </row>
    <row r="716" spans="1:24">
      <c r="A716" t="s">
        <v>1188</v>
      </c>
      <c r="B716">
        <v>6.6</v>
      </c>
      <c r="C716" s="1">
        <v>38283.37222222222</v>
      </c>
      <c r="D716">
        <v>0</v>
      </c>
      <c r="E716">
        <v>8</v>
      </c>
      <c r="G716">
        <v>0</v>
      </c>
      <c r="H716">
        <v>670</v>
      </c>
      <c r="I716" t="s">
        <v>46</v>
      </c>
      <c r="J716">
        <v>782</v>
      </c>
      <c r="K716">
        <v>0</v>
      </c>
      <c r="L716">
        <v>37</v>
      </c>
      <c r="M716" t="s">
        <v>13</v>
      </c>
      <c r="N716">
        <v>16</v>
      </c>
      <c r="O716">
        <v>37.225999999999999</v>
      </c>
      <c r="P716">
        <v>138.779</v>
      </c>
      <c r="Q716" t="s">
        <v>1189</v>
      </c>
      <c r="R716" t="s">
        <v>85</v>
      </c>
      <c r="S716" t="s">
        <v>243</v>
      </c>
      <c r="U716" t="str">
        <f t="shared" si="33"/>
        <v>N km direction of city</v>
      </c>
      <c r="V716" t="str">
        <f t="shared" si="34"/>
        <v>mwc</v>
      </c>
      <c r="X716">
        <f t="shared" si="35"/>
        <v>2004</v>
      </c>
    </row>
    <row r="717" spans="1:24">
      <c r="A717" t="s">
        <v>1190</v>
      </c>
      <c r="B717">
        <v>6.7</v>
      </c>
      <c r="C717" s="1">
        <v>38275.172222222223</v>
      </c>
      <c r="D717">
        <v>5</v>
      </c>
      <c r="E717">
        <v>6</v>
      </c>
      <c r="G717">
        <v>0</v>
      </c>
      <c r="H717">
        <v>705</v>
      </c>
      <c r="I717" t="s">
        <v>46</v>
      </c>
      <c r="J717">
        <v>698</v>
      </c>
      <c r="K717">
        <v>0</v>
      </c>
      <c r="L717">
        <v>24.7</v>
      </c>
      <c r="M717" t="s">
        <v>12</v>
      </c>
      <c r="N717">
        <v>94</v>
      </c>
      <c r="O717">
        <v>24.53</v>
      </c>
      <c r="P717">
        <v>122.694</v>
      </c>
      <c r="Q717" t="s">
        <v>1191</v>
      </c>
      <c r="U717" t="str">
        <f t="shared" si="33"/>
        <v>N km direction of city</v>
      </c>
      <c r="V717" t="str">
        <f t="shared" si="34"/>
        <v>mwb</v>
      </c>
      <c r="X717">
        <f t="shared" si="35"/>
        <v>2004</v>
      </c>
    </row>
    <row r="718" spans="1:24">
      <c r="A718" t="s">
        <v>1192</v>
      </c>
      <c r="B718">
        <v>7</v>
      </c>
      <c r="C718" s="1">
        <v>38269.893055555563</v>
      </c>
      <c r="D718">
        <v>0</v>
      </c>
      <c r="E718">
        <v>6</v>
      </c>
      <c r="G718">
        <v>0</v>
      </c>
      <c r="H718">
        <v>754</v>
      </c>
      <c r="I718" t="s">
        <v>46</v>
      </c>
      <c r="J718">
        <v>441</v>
      </c>
      <c r="K718">
        <v>0</v>
      </c>
      <c r="L718">
        <v>32.200000000000003</v>
      </c>
      <c r="M718" t="s">
        <v>13</v>
      </c>
      <c r="N718">
        <v>35</v>
      </c>
      <c r="O718">
        <v>11.422000000000001</v>
      </c>
      <c r="P718">
        <v>-86.665000000000006</v>
      </c>
      <c r="Q718" t="s">
        <v>168</v>
      </c>
      <c r="U718" t="str">
        <f t="shared" si="33"/>
        <v>N km direction of city</v>
      </c>
      <c r="V718" t="str">
        <f t="shared" si="34"/>
        <v>mwc</v>
      </c>
      <c r="X718">
        <f t="shared" si="35"/>
        <v>2004</v>
      </c>
    </row>
    <row r="719" spans="1:24">
      <c r="A719" t="s">
        <v>1193</v>
      </c>
      <c r="B719">
        <v>6.5</v>
      </c>
      <c r="C719" s="1">
        <v>38268.60833333333</v>
      </c>
      <c r="D719">
        <v>5</v>
      </c>
      <c r="E719">
        <v>5</v>
      </c>
      <c r="G719">
        <v>0</v>
      </c>
      <c r="H719">
        <v>665</v>
      </c>
      <c r="I719" t="s">
        <v>46</v>
      </c>
      <c r="J719">
        <v>526</v>
      </c>
      <c r="K719">
        <v>0</v>
      </c>
      <c r="L719">
        <v>18.3</v>
      </c>
      <c r="M719" t="s">
        <v>12</v>
      </c>
      <c r="N719">
        <v>105</v>
      </c>
      <c r="O719">
        <v>13.925000000000001</v>
      </c>
      <c r="P719">
        <v>120.53400000000001</v>
      </c>
      <c r="Q719" t="s">
        <v>1194</v>
      </c>
      <c r="S719" t="s">
        <v>158</v>
      </c>
      <c r="U719" t="str">
        <f t="shared" si="33"/>
        <v>N km direction of city</v>
      </c>
      <c r="V719" t="str">
        <f t="shared" si="34"/>
        <v>mwb</v>
      </c>
      <c r="X719">
        <f t="shared" si="35"/>
        <v>2004</v>
      </c>
    </row>
    <row r="720" spans="1:24">
      <c r="A720" t="s">
        <v>1195</v>
      </c>
      <c r="B720">
        <v>6.8</v>
      </c>
      <c r="C720" s="1">
        <v>38268.352083333331</v>
      </c>
      <c r="D720">
        <v>0</v>
      </c>
      <c r="E720">
        <v>6</v>
      </c>
      <c r="G720">
        <v>0</v>
      </c>
      <c r="H720">
        <v>711</v>
      </c>
      <c r="I720" t="s">
        <v>46</v>
      </c>
      <c r="J720">
        <v>545</v>
      </c>
      <c r="K720">
        <v>0</v>
      </c>
      <c r="L720">
        <v>15.7</v>
      </c>
      <c r="M720" t="s">
        <v>12</v>
      </c>
      <c r="N720">
        <v>36</v>
      </c>
      <c r="O720">
        <v>-10.951000000000001</v>
      </c>
      <c r="P720">
        <v>162.161</v>
      </c>
      <c r="Q720" t="s">
        <v>406</v>
      </c>
      <c r="S720" t="s">
        <v>124</v>
      </c>
      <c r="U720" t="str">
        <f t="shared" si="33"/>
        <v>N km direction of city</v>
      </c>
      <c r="V720" t="str">
        <f t="shared" si="34"/>
        <v>mwb</v>
      </c>
      <c r="X720">
        <f t="shared" si="35"/>
        <v>2004</v>
      </c>
    </row>
    <row r="721" spans="1:24">
      <c r="A721" t="s">
        <v>1196</v>
      </c>
      <c r="B721">
        <v>6.6</v>
      </c>
      <c r="C721" s="1">
        <v>38236.978472222218</v>
      </c>
      <c r="D721">
        <v>0</v>
      </c>
      <c r="E721">
        <v>4</v>
      </c>
      <c r="G721">
        <v>0</v>
      </c>
      <c r="H721">
        <v>670</v>
      </c>
      <c r="I721" t="s">
        <v>46</v>
      </c>
      <c r="J721">
        <v>478</v>
      </c>
      <c r="K721">
        <v>0</v>
      </c>
      <c r="L721">
        <v>29.8</v>
      </c>
      <c r="M721" t="s">
        <v>13</v>
      </c>
      <c r="N721">
        <v>10</v>
      </c>
      <c r="O721">
        <v>33.204999999999998</v>
      </c>
      <c r="P721">
        <v>137.227</v>
      </c>
      <c r="Q721" t="s">
        <v>1197</v>
      </c>
      <c r="U721" t="str">
        <f t="shared" si="33"/>
        <v>N km direction of city</v>
      </c>
      <c r="V721" t="str">
        <f t="shared" si="34"/>
        <v>mwc</v>
      </c>
      <c r="X721">
        <f t="shared" si="35"/>
        <v>2004</v>
      </c>
    </row>
    <row r="722" spans="1:24">
      <c r="A722" t="s">
        <v>1198</v>
      </c>
      <c r="B722">
        <v>7.4</v>
      </c>
      <c r="C722" s="1">
        <v>38235.622916666667</v>
      </c>
      <c r="D722">
        <v>0</v>
      </c>
      <c r="E722">
        <v>5</v>
      </c>
      <c r="G722">
        <v>0</v>
      </c>
      <c r="H722">
        <v>842</v>
      </c>
      <c r="I722" t="s">
        <v>46</v>
      </c>
      <c r="J722">
        <v>594</v>
      </c>
      <c r="K722">
        <v>0</v>
      </c>
      <c r="L722">
        <v>27.5</v>
      </c>
      <c r="M722" t="s">
        <v>12</v>
      </c>
      <c r="N722">
        <v>10</v>
      </c>
      <c r="O722">
        <v>33.183999999999997</v>
      </c>
      <c r="P722">
        <v>137.071</v>
      </c>
      <c r="Q722" t="s">
        <v>1197</v>
      </c>
      <c r="U722" t="str">
        <f t="shared" si="33"/>
        <v>N km direction of city</v>
      </c>
      <c r="V722" t="str">
        <f t="shared" si="34"/>
        <v>mwb</v>
      </c>
      <c r="X722">
        <f t="shared" si="35"/>
        <v>2004</v>
      </c>
    </row>
    <row r="723" spans="1:24">
      <c r="A723" t="s">
        <v>1199</v>
      </c>
      <c r="B723">
        <v>7.2</v>
      </c>
      <c r="C723" s="1">
        <v>38235.421527777777</v>
      </c>
      <c r="D723">
        <v>0</v>
      </c>
      <c r="E723">
        <v>5</v>
      </c>
      <c r="G723">
        <v>0</v>
      </c>
      <c r="H723">
        <v>798</v>
      </c>
      <c r="I723" t="s">
        <v>46</v>
      </c>
      <c r="J723">
        <v>643</v>
      </c>
      <c r="K723">
        <v>0</v>
      </c>
      <c r="L723">
        <v>28.4</v>
      </c>
      <c r="M723" t="s">
        <v>13</v>
      </c>
      <c r="N723">
        <v>14</v>
      </c>
      <c r="O723">
        <v>33.07</v>
      </c>
      <c r="P723">
        <v>136.61799999999999</v>
      </c>
      <c r="Q723" t="s">
        <v>1197</v>
      </c>
      <c r="U723" t="str">
        <f t="shared" si="33"/>
        <v>N km direction of city</v>
      </c>
      <c r="V723" t="str">
        <f t="shared" si="34"/>
        <v>mwc</v>
      </c>
      <c r="X723">
        <f t="shared" si="35"/>
        <v>2004</v>
      </c>
    </row>
    <row r="724" spans="1:24">
      <c r="A724" t="s">
        <v>1200</v>
      </c>
      <c r="B724">
        <v>6.5</v>
      </c>
      <c r="C724" s="1">
        <v>38227.570138888892</v>
      </c>
      <c r="D724">
        <v>0</v>
      </c>
      <c r="E724">
        <v>7</v>
      </c>
      <c r="G724">
        <v>0</v>
      </c>
      <c r="H724">
        <v>650</v>
      </c>
      <c r="I724" t="s">
        <v>46</v>
      </c>
      <c r="J724">
        <v>349</v>
      </c>
      <c r="K724">
        <v>0</v>
      </c>
      <c r="L724">
        <v>30.1</v>
      </c>
      <c r="M724" t="s">
        <v>12</v>
      </c>
      <c r="N724">
        <v>5</v>
      </c>
      <c r="O724">
        <v>-35.173000000000002</v>
      </c>
      <c r="P724">
        <v>-70.525000000000006</v>
      </c>
      <c r="Q724" t="s">
        <v>1201</v>
      </c>
      <c r="R724" t="s">
        <v>53</v>
      </c>
      <c r="S724" t="s">
        <v>275</v>
      </c>
      <c r="U724" t="str">
        <f t="shared" si="33"/>
        <v>N km direction of city</v>
      </c>
      <c r="V724" t="str">
        <f t="shared" si="34"/>
        <v>mwb</v>
      </c>
      <c r="X724">
        <f t="shared" si="35"/>
        <v>2004</v>
      </c>
    </row>
    <row r="725" spans="1:24">
      <c r="A725" t="s">
        <v>1202</v>
      </c>
      <c r="B725">
        <v>6.5</v>
      </c>
      <c r="C725" s="1">
        <v>38196.163888888892</v>
      </c>
      <c r="D725">
        <v>0</v>
      </c>
      <c r="E725">
        <v>7</v>
      </c>
      <c r="G725">
        <v>0</v>
      </c>
      <c r="H725">
        <v>650</v>
      </c>
      <c r="I725" t="s">
        <v>46</v>
      </c>
      <c r="J725">
        <v>305</v>
      </c>
      <c r="K725">
        <v>0</v>
      </c>
      <c r="L725">
        <v>39</v>
      </c>
      <c r="M725" t="s">
        <v>13</v>
      </c>
      <c r="N725">
        <v>13.4</v>
      </c>
      <c r="O725">
        <v>-0.443</v>
      </c>
      <c r="P725">
        <v>133.09100000000001</v>
      </c>
      <c r="Q725" t="s">
        <v>827</v>
      </c>
      <c r="S725" t="s">
        <v>77</v>
      </c>
      <c r="U725" t="str">
        <f t="shared" si="33"/>
        <v>N km direction of city</v>
      </c>
      <c r="V725" t="str">
        <f t="shared" si="34"/>
        <v>mwc</v>
      </c>
      <c r="X725">
        <f t="shared" si="35"/>
        <v>2004</v>
      </c>
    </row>
    <row r="726" spans="1:24">
      <c r="A726" t="s">
        <v>1203</v>
      </c>
      <c r="B726">
        <v>6.9</v>
      </c>
      <c r="C726" s="1">
        <v>38148.638194444437</v>
      </c>
      <c r="D726">
        <v>0</v>
      </c>
      <c r="E726">
        <v>5</v>
      </c>
      <c r="G726">
        <v>0</v>
      </c>
      <c r="H726">
        <v>732</v>
      </c>
      <c r="I726" t="s">
        <v>46</v>
      </c>
      <c r="J726">
        <v>798</v>
      </c>
      <c r="K726">
        <v>0</v>
      </c>
      <c r="L726">
        <v>31.2</v>
      </c>
      <c r="M726" t="s">
        <v>12</v>
      </c>
      <c r="N726">
        <v>188.6</v>
      </c>
      <c r="O726">
        <v>55.682000000000002</v>
      </c>
      <c r="P726">
        <v>160.00299999999999</v>
      </c>
      <c r="Q726" t="s">
        <v>1204</v>
      </c>
      <c r="R726" t="s">
        <v>85</v>
      </c>
      <c r="S726" t="s">
        <v>310</v>
      </c>
      <c r="U726" t="str">
        <f t="shared" si="33"/>
        <v>N km direction of city</v>
      </c>
      <c r="V726" t="str">
        <f t="shared" si="34"/>
        <v>mwb</v>
      </c>
      <c r="X726">
        <f t="shared" si="35"/>
        <v>2004</v>
      </c>
    </row>
    <row r="727" spans="1:24">
      <c r="A727" t="s">
        <v>1205</v>
      </c>
      <c r="B727">
        <v>6.6</v>
      </c>
      <c r="C727" s="1">
        <v>38110.191666666673</v>
      </c>
      <c r="D727">
        <v>0</v>
      </c>
      <c r="E727">
        <v>7</v>
      </c>
      <c r="G727">
        <v>0</v>
      </c>
      <c r="H727">
        <v>670</v>
      </c>
      <c r="I727" t="s">
        <v>46</v>
      </c>
      <c r="J727">
        <v>282</v>
      </c>
      <c r="K727">
        <v>0</v>
      </c>
      <c r="L727">
        <v>46.9</v>
      </c>
      <c r="M727" t="s">
        <v>12</v>
      </c>
      <c r="N727">
        <v>21</v>
      </c>
      <c r="O727">
        <v>-37.695</v>
      </c>
      <c r="P727">
        <v>-73.406000000000006</v>
      </c>
      <c r="Q727" t="s">
        <v>925</v>
      </c>
      <c r="R727" t="s">
        <v>53</v>
      </c>
      <c r="S727" t="s">
        <v>275</v>
      </c>
      <c r="U727" t="str">
        <f t="shared" si="33"/>
        <v>N km direction of city</v>
      </c>
      <c r="V727" t="str">
        <f t="shared" si="34"/>
        <v>mwb</v>
      </c>
      <c r="X727">
        <f t="shared" si="35"/>
        <v>2004</v>
      </c>
    </row>
    <row r="728" spans="1:24">
      <c r="A728" t="s">
        <v>1206</v>
      </c>
      <c r="B728">
        <v>6.7</v>
      </c>
      <c r="C728" s="1">
        <v>38100.076388888891</v>
      </c>
      <c r="D728">
        <v>0</v>
      </c>
      <c r="E728">
        <v>5</v>
      </c>
      <c r="G728">
        <v>0</v>
      </c>
      <c r="H728">
        <v>691</v>
      </c>
      <c r="I728" t="s">
        <v>46</v>
      </c>
      <c r="J728">
        <v>386</v>
      </c>
      <c r="K728">
        <v>0</v>
      </c>
      <c r="L728">
        <v>27.6</v>
      </c>
      <c r="M728" t="s">
        <v>12</v>
      </c>
      <c r="N728">
        <v>65.8</v>
      </c>
      <c r="O728">
        <v>-9.3620000000000001</v>
      </c>
      <c r="P728">
        <v>122.839</v>
      </c>
      <c r="Q728" t="s">
        <v>1207</v>
      </c>
      <c r="S728" t="s">
        <v>77</v>
      </c>
      <c r="U728" t="str">
        <f t="shared" si="33"/>
        <v>N km direction of city</v>
      </c>
      <c r="V728" t="str">
        <f t="shared" si="34"/>
        <v>mwb</v>
      </c>
      <c r="X728">
        <f t="shared" si="35"/>
        <v>2004</v>
      </c>
    </row>
    <row r="729" spans="1:24">
      <c r="A729" t="s">
        <v>1208</v>
      </c>
      <c r="B729">
        <v>6.5</v>
      </c>
      <c r="C729" s="1">
        <v>38086.640972222223</v>
      </c>
      <c r="D729">
        <v>0</v>
      </c>
      <c r="E729">
        <v>4</v>
      </c>
      <c r="G729">
        <v>0</v>
      </c>
      <c r="H729">
        <v>650</v>
      </c>
      <c r="I729" t="s">
        <v>46</v>
      </c>
      <c r="J729">
        <v>424</v>
      </c>
      <c r="K729">
        <v>0</v>
      </c>
      <c r="L729">
        <v>29.9</v>
      </c>
      <c r="M729" t="s">
        <v>12</v>
      </c>
      <c r="N729">
        <v>228.4</v>
      </c>
      <c r="O729">
        <v>-13.173999999999999</v>
      </c>
      <c r="P729">
        <v>167.19800000000001</v>
      </c>
      <c r="Q729" t="s">
        <v>47</v>
      </c>
      <c r="S729" t="s">
        <v>48</v>
      </c>
      <c r="U729" t="str">
        <f t="shared" si="33"/>
        <v>N km direction of city</v>
      </c>
      <c r="V729" t="str">
        <f t="shared" si="34"/>
        <v>mwb</v>
      </c>
      <c r="X729">
        <f t="shared" si="35"/>
        <v>2004</v>
      </c>
    </row>
    <row r="730" spans="1:24">
      <c r="A730" t="s">
        <v>1209</v>
      </c>
      <c r="B730">
        <v>6.6</v>
      </c>
      <c r="C730" s="1">
        <v>38082.89166666667</v>
      </c>
      <c r="D730">
        <v>0</v>
      </c>
      <c r="E730">
        <v>4</v>
      </c>
      <c r="G730">
        <v>0</v>
      </c>
      <c r="H730">
        <v>670</v>
      </c>
      <c r="I730" t="s">
        <v>46</v>
      </c>
      <c r="J730">
        <v>728</v>
      </c>
      <c r="K730">
        <v>0</v>
      </c>
      <c r="L730">
        <v>18.3</v>
      </c>
      <c r="M730" t="s">
        <v>12</v>
      </c>
      <c r="N730">
        <v>187.1</v>
      </c>
      <c r="O730">
        <v>36.512</v>
      </c>
      <c r="P730">
        <v>71.028999999999996</v>
      </c>
      <c r="Q730" t="s">
        <v>1210</v>
      </c>
      <c r="R730" t="s">
        <v>85</v>
      </c>
      <c r="S730" t="s">
        <v>94</v>
      </c>
      <c r="U730" t="str">
        <f t="shared" si="33"/>
        <v>Named-region</v>
      </c>
      <c r="V730" t="str">
        <f t="shared" si="34"/>
        <v>mwb</v>
      </c>
      <c r="X730">
        <f t="shared" si="35"/>
        <v>2004</v>
      </c>
    </row>
    <row r="731" spans="1:24">
      <c r="A731" t="s">
        <v>1211</v>
      </c>
      <c r="B731">
        <v>6.7</v>
      </c>
      <c r="C731" s="1">
        <v>38025.373611111107</v>
      </c>
      <c r="D731">
        <v>0</v>
      </c>
      <c r="E731">
        <v>7</v>
      </c>
      <c r="G731">
        <v>0</v>
      </c>
      <c r="H731">
        <v>691</v>
      </c>
      <c r="I731" t="s">
        <v>46</v>
      </c>
      <c r="J731">
        <v>256</v>
      </c>
      <c r="K731">
        <v>0</v>
      </c>
      <c r="L731">
        <v>33.299999999999997</v>
      </c>
      <c r="M731" t="s">
        <v>13</v>
      </c>
      <c r="N731">
        <v>25.7</v>
      </c>
      <c r="O731">
        <v>-3.665</v>
      </c>
      <c r="P731">
        <v>135.339</v>
      </c>
      <c r="Q731" t="s">
        <v>1180</v>
      </c>
      <c r="S731" t="s">
        <v>77</v>
      </c>
      <c r="U731" t="str">
        <f t="shared" si="33"/>
        <v>N km direction of city</v>
      </c>
      <c r="V731" t="str">
        <f t="shared" si="34"/>
        <v>mwc</v>
      </c>
      <c r="X731">
        <f t="shared" si="35"/>
        <v>2004</v>
      </c>
    </row>
    <row r="732" spans="1:24">
      <c r="A732" t="s">
        <v>1212</v>
      </c>
      <c r="B732">
        <v>7.3</v>
      </c>
      <c r="C732" s="1">
        <v>38024.112500000003</v>
      </c>
      <c r="D732">
        <v>0</v>
      </c>
      <c r="E732">
        <v>7</v>
      </c>
      <c r="G732">
        <v>0</v>
      </c>
      <c r="H732">
        <v>820</v>
      </c>
      <c r="I732" t="s">
        <v>46</v>
      </c>
      <c r="J732">
        <v>390</v>
      </c>
      <c r="K732">
        <v>0</v>
      </c>
      <c r="L732">
        <v>23</v>
      </c>
      <c r="M732" t="s">
        <v>12</v>
      </c>
      <c r="N732">
        <v>10</v>
      </c>
      <c r="O732">
        <v>-4.0030000000000001</v>
      </c>
      <c r="P732">
        <v>135.023</v>
      </c>
      <c r="Q732" t="s">
        <v>911</v>
      </c>
      <c r="S732" t="s">
        <v>77</v>
      </c>
      <c r="U732" t="str">
        <f t="shared" si="33"/>
        <v>Named-region</v>
      </c>
      <c r="V732" t="str">
        <f t="shared" si="34"/>
        <v>mwb</v>
      </c>
      <c r="X732">
        <f t="shared" si="35"/>
        <v>2004</v>
      </c>
    </row>
    <row r="733" spans="1:24">
      <c r="A733" t="s">
        <v>1213</v>
      </c>
      <c r="B733">
        <v>7</v>
      </c>
      <c r="C733" s="1">
        <v>38022.878472222219</v>
      </c>
      <c r="D733">
        <v>0</v>
      </c>
      <c r="E733">
        <v>7</v>
      </c>
      <c r="G733">
        <v>0</v>
      </c>
      <c r="H733">
        <v>754</v>
      </c>
      <c r="I733" t="s">
        <v>46</v>
      </c>
      <c r="J733">
        <v>367</v>
      </c>
      <c r="K733">
        <v>0</v>
      </c>
      <c r="L733">
        <v>33</v>
      </c>
      <c r="M733" t="s">
        <v>13</v>
      </c>
      <c r="N733">
        <v>16.600000000000001</v>
      </c>
      <c r="O733">
        <v>-3.6150000000000002</v>
      </c>
      <c r="P733">
        <v>135.53800000000001</v>
      </c>
      <c r="Q733" t="s">
        <v>1180</v>
      </c>
      <c r="S733" t="s">
        <v>77</v>
      </c>
      <c r="U733" t="str">
        <f t="shared" si="33"/>
        <v>N km direction of city</v>
      </c>
      <c r="V733" t="str">
        <f t="shared" si="34"/>
        <v>mwc</v>
      </c>
      <c r="X733">
        <f t="shared" si="35"/>
        <v>2004</v>
      </c>
    </row>
    <row r="734" spans="1:24">
      <c r="A734" t="s">
        <v>1214</v>
      </c>
      <c r="B734">
        <v>6.7</v>
      </c>
      <c r="C734" s="1">
        <v>38014.927083333343</v>
      </c>
      <c r="D734">
        <v>0</v>
      </c>
      <c r="E734">
        <v>6</v>
      </c>
      <c r="G734">
        <v>0</v>
      </c>
      <c r="H734">
        <v>691</v>
      </c>
      <c r="I734" t="s">
        <v>46</v>
      </c>
      <c r="J734">
        <v>243</v>
      </c>
      <c r="K734">
        <v>0</v>
      </c>
      <c r="L734">
        <v>42.5</v>
      </c>
      <c r="M734" t="s">
        <v>12</v>
      </c>
      <c r="N734">
        <v>17.399999999999999</v>
      </c>
      <c r="O734">
        <v>-3.12</v>
      </c>
      <c r="P734">
        <v>127.4</v>
      </c>
      <c r="Q734" t="s">
        <v>1123</v>
      </c>
      <c r="S734" t="s">
        <v>77</v>
      </c>
      <c r="U734" t="str">
        <f t="shared" si="33"/>
        <v>N km direction of city</v>
      </c>
      <c r="V734" t="str">
        <f t="shared" si="34"/>
        <v>mwb</v>
      </c>
      <c r="X734">
        <f t="shared" si="35"/>
        <v>2004</v>
      </c>
    </row>
    <row r="735" spans="1:24">
      <c r="A735" t="s">
        <v>1215</v>
      </c>
      <c r="B735">
        <v>7.3</v>
      </c>
      <c r="C735" s="1">
        <v>37982.666666666657</v>
      </c>
      <c r="D735">
        <v>0</v>
      </c>
      <c r="E735">
        <v>4</v>
      </c>
      <c r="G735">
        <v>0</v>
      </c>
      <c r="H735">
        <v>820</v>
      </c>
      <c r="I735" t="s">
        <v>46</v>
      </c>
      <c r="J735">
        <v>235</v>
      </c>
      <c r="K735">
        <v>0</v>
      </c>
      <c r="L735">
        <v>46.6</v>
      </c>
      <c r="M735" t="s">
        <v>13</v>
      </c>
      <c r="N735">
        <v>10</v>
      </c>
      <c r="O735">
        <v>-22.015000000000001</v>
      </c>
      <c r="P735">
        <v>169.76599999999999</v>
      </c>
      <c r="Q735" t="s">
        <v>171</v>
      </c>
      <c r="U735" t="str">
        <f t="shared" si="33"/>
        <v>N km direction of city</v>
      </c>
      <c r="V735" t="str">
        <f t="shared" si="34"/>
        <v>mwc</v>
      </c>
      <c r="X735">
        <f t="shared" si="35"/>
        <v>2003</v>
      </c>
    </row>
    <row r="736" spans="1:24">
      <c r="A736" t="s">
        <v>1216</v>
      </c>
      <c r="B736">
        <v>6.6</v>
      </c>
      <c r="C736" s="1">
        <v>37981.080555555563</v>
      </c>
      <c r="D736">
        <v>0</v>
      </c>
      <c r="E736">
        <v>9</v>
      </c>
      <c r="G736">
        <v>0</v>
      </c>
      <c r="H736">
        <v>670</v>
      </c>
      <c r="I736" t="s">
        <v>46</v>
      </c>
      <c r="J736">
        <v>552</v>
      </c>
      <c r="K736">
        <v>0</v>
      </c>
      <c r="L736">
        <v>44.8</v>
      </c>
      <c r="M736" t="s">
        <v>13</v>
      </c>
      <c r="N736">
        <v>10</v>
      </c>
      <c r="O736">
        <v>28.995000000000001</v>
      </c>
      <c r="P736">
        <v>58.311</v>
      </c>
      <c r="Q736" t="s">
        <v>905</v>
      </c>
      <c r="R736" t="s">
        <v>85</v>
      </c>
      <c r="S736" t="s">
        <v>457</v>
      </c>
      <c r="U736" t="str">
        <f t="shared" si="33"/>
        <v>N km direction of city</v>
      </c>
      <c r="V736" t="str">
        <f t="shared" si="34"/>
        <v>mwc</v>
      </c>
      <c r="X736">
        <f t="shared" si="35"/>
        <v>2003</v>
      </c>
    </row>
    <row r="737" spans="1:24">
      <c r="A737" t="s">
        <v>1217</v>
      </c>
      <c r="B737">
        <v>6.5</v>
      </c>
      <c r="C737" s="1">
        <v>37980.299305555563</v>
      </c>
      <c r="D737">
        <v>0</v>
      </c>
      <c r="E737">
        <v>6</v>
      </c>
      <c r="G737">
        <v>0</v>
      </c>
      <c r="H737">
        <v>650</v>
      </c>
      <c r="I737" t="s">
        <v>46</v>
      </c>
      <c r="J737">
        <v>405</v>
      </c>
      <c r="K737">
        <v>0</v>
      </c>
      <c r="L737">
        <v>48.4</v>
      </c>
      <c r="M737" t="s">
        <v>12</v>
      </c>
      <c r="N737">
        <v>33</v>
      </c>
      <c r="O737">
        <v>8.4160000000000004</v>
      </c>
      <c r="P737">
        <v>-82.823999999999998</v>
      </c>
      <c r="Q737" t="s">
        <v>1218</v>
      </c>
      <c r="S737" t="s">
        <v>136</v>
      </c>
      <c r="U737" t="str">
        <f t="shared" si="33"/>
        <v>N km direction of city</v>
      </c>
      <c r="V737" t="str">
        <f t="shared" si="34"/>
        <v>mwb</v>
      </c>
      <c r="X737">
        <f t="shared" si="35"/>
        <v>2003</v>
      </c>
    </row>
    <row r="738" spans="1:24">
      <c r="A738" t="s">
        <v>1219</v>
      </c>
      <c r="B738">
        <v>6.5</v>
      </c>
      <c r="C738" s="1">
        <v>37977.802083333343</v>
      </c>
      <c r="D738">
        <v>7</v>
      </c>
      <c r="E738">
        <v>9</v>
      </c>
      <c r="G738">
        <v>0</v>
      </c>
      <c r="H738">
        <v>1390</v>
      </c>
      <c r="I738" t="s">
        <v>716</v>
      </c>
      <c r="J738">
        <v>65</v>
      </c>
      <c r="K738">
        <v>4.6850000000000003E-2</v>
      </c>
      <c r="L738">
        <v>71</v>
      </c>
      <c r="M738" t="s">
        <v>11</v>
      </c>
      <c r="N738">
        <v>8.3819999999999997</v>
      </c>
      <c r="O738">
        <v>35.700499999999998</v>
      </c>
      <c r="P738">
        <v>-121.101</v>
      </c>
      <c r="Q738" t="s">
        <v>1220</v>
      </c>
      <c r="R738" t="s">
        <v>139</v>
      </c>
      <c r="S738" t="s">
        <v>204</v>
      </c>
      <c r="U738" t="str">
        <f t="shared" si="33"/>
        <v>N km direction of city</v>
      </c>
      <c r="V738" t="str">
        <f t="shared" si="34"/>
        <v>mw</v>
      </c>
      <c r="X738">
        <f t="shared" si="35"/>
        <v>2003</v>
      </c>
    </row>
    <row r="739" spans="1:24">
      <c r="A739" t="s">
        <v>1221</v>
      </c>
      <c r="B739">
        <v>6.8</v>
      </c>
      <c r="C739" s="1">
        <v>37965.193055555559</v>
      </c>
      <c r="D739">
        <v>0</v>
      </c>
      <c r="E739">
        <v>7</v>
      </c>
      <c r="G739">
        <v>0</v>
      </c>
      <c r="H739">
        <v>711</v>
      </c>
      <c r="I739" t="s">
        <v>46</v>
      </c>
      <c r="J739">
        <v>447</v>
      </c>
      <c r="K739">
        <v>0</v>
      </c>
      <c r="L739">
        <v>27.7</v>
      </c>
      <c r="M739" t="s">
        <v>12</v>
      </c>
      <c r="N739">
        <v>10</v>
      </c>
      <c r="O739">
        <v>23.039000000000001</v>
      </c>
      <c r="P739">
        <v>121.36199999999999</v>
      </c>
      <c r="Q739" t="s">
        <v>143</v>
      </c>
      <c r="R739" t="s">
        <v>85</v>
      </c>
      <c r="S739" t="s">
        <v>144</v>
      </c>
      <c r="U739" t="str">
        <f t="shared" si="33"/>
        <v>N km direction of city</v>
      </c>
      <c r="V739" t="str">
        <f t="shared" si="34"/>
        <v>mwb</v>
      </c>
      <c r="X739">
        <f t="shared" si="35"/>
        <v>2003</v>
      </c>
    </row>
    <row r="740" spans="1:24">
      <c r="A740" t="s">
        <v>1222</v>
      </c>
      <c r="B740">
        <v>6.6</v>
      </c>
      <c r="C740" s="1">
        <v>37950.84652777778</v>
      </c>
      <c r="D740">
        <v>0</v>
      </c>
      <c r="E740">
        <v>6</v>
      </c>
      <c r="G740">
        <v>0</v>
      </c>
      <c r="H740">
        <v>670</v>
      </c>
      <c r="I740" t="s">
        <v>46</v>
      </c>
      <c r="J740">
        <v>384</v>
      </c>
      <c r="K740">
        <v>0</v>
      </c>
      <c r="L740">
        <v>25.1</v>
      </c>
      <c r="M740" t="s">
        <v>12</v>
      </c>
      <c r="N740">
        <v>35</v>
      </c>
      <c r="O740">
        <v>-5.5810000000000004</v>
      </c>
      <c r="P740">
        <v>150.88</v>
      </c>
      <c r="Q740" t="s">
        <v>103</v>
      </c>
      <c r="S740" t="s">
        <v>89</v>
      </c>
      <c r="U740" t="str">
        <f t="shared" si="33"/>
        <v>N km direction of city</v>
      </c>
      <c r="V740" t="str">
        <f t="shared" si="34"/>
        <v>mwb</v>
      </c>
      <c r="X740">
        <f t="shared" si="35"/>
        <v>2003</v>
      </c>
    </row>
    <row r="741" spans="1:24">
      <c r="A741" t="s">
        <v>1223</v>
      </c>
      <c r="B741">
        <v>6.5</v>
      </c>
      <c r="C741" s="1">
        <v>37943.718055555553</v>
      </c>
      <c r="D741">
        <v>0</v>
      </c>
      <c r="E741">
        <v>6</v>
      </c>
      <c r="G741">
        <v>0</v>
      </c>
      <c r="H741">
        <v>650</v>
      </c>
      <c r="I741" t="s">
        <v>46</v>
      </c>
      <c r="J741">
        <v>487</v>
      </c>
      <c r="K741">
        <v>0</v>
      </c>
      <c r="L741">
        <v>45.9</v>
      </c>
      <c r="M741" t="s">
        <v>12</v>
      </c>
      <c r="N741">
        <v>35</v>
      </c>
      <c r="O741">
        <v>12.025</v>
      </c>
      <c r="P741">
        <v>125.416</v>
      </c>
      <c r="Q741" t="s">
        <v>1224</v>
      </c>
      <c r="S741" t="s">
        <v>158</v>
      </c>
      <c r="U741" t="str">
        <f t="shared" si="33"/>
        <v>N km direction of city</v>
      </c>
      <c r="V741" t="str">
        <f t="shared" si="34"/>
        <v>mwb</v>
      </c>
      <c r="X741">
        <f t="shared" si="35"/>
        <v>2003</v>
      </c>
    </row>
    <row r="742" spans="1:24">
      <c r="A742" t="s">
        <v>1225</v>
      </c>
      <c r="B742">
        <v>6.6</v>
      </c>
      <c r="C742" s="1">
        <v>37931.443055555559</v>
      </c>
      <c r="D742">
        <v>0</v>
      </c>
      <c r="E742">
        <v>5</v>
      </c>
      <c r="G742">
        <v>0</v>
      </c>
      <c r="H742">
        <v>670</v>
      </c>
      <c r="I742" t="s">
        <v>46</v>
      </c>
      <c r="J742">
        <v>475</v>
      </c>
      <c r="K742">
        <v>0</v>
      </c>
      <c r="L742">
        <v>26.2</v>
      </c>
      <c r="M742" t="s">
        <v>12</v>
      </c>
      <c r="N742">
        <v>113.7</v>
      </c>
      <c r="O742">
        <v>-19.262</v>
      </c>
      <c r="P742">
        <v>168.892</v>
      </c>
      <c r="Q742" t="s">
        <v>148</v>
      </c>
      <c r="U742" t="str">
        <f t="shared" si="33"/>
        <v>N km direction of city</v>
      </c>
      <c r="V742" t="str">
        <f t="shared" si="34"/>
        <v>mwb</v>
      </c>
      <c r="X742">
        <f t="shared" si="35"/>
        <v>2003</v>
      </c>
    </row>
    <row r="743" spans="1:24">
      <c r="A743" t="s">
        <v>1226</v>
      </c>
      <c r="B743">
        <v>7</v>
      </c>
      <c r="C743" s="1">
        <v>37925.04583333333</v>
      </c>
      <c r="D743">
        <v>0</v>
      </c>
      <c r="E743">
        <v>5</v>
      </c>
      <c r="G743">
        <v>0</v>
      </c>
      <c r="H743">
        <v>754</v>
      </c>
      <c r="I743" t="s">
        <v>46</v>
      </c>
      <c r="J743">
        <v>568</v>
      </c>
      <c r="K743">
        <v>0</v>
      </c>
      <c r="L743">
        <v>61.2</v>
      </c>
      <c r="M743" t="s">
        <v>12</v>
      </c>
      <c r="N743">
        <v>10</v>
      </c>
      <c r="O743">
        <v>37.811999999999998</v>
      </c>
      <c r="P743">
        <v>142.619</v>
      </c>
      <c r="Q743" t="s">
        <v>249</v>
      </c>
      <c r="U743" t="str">
        <f t="shared" si="33"/>
        <v>N km direction of city</v>
      </c>
      <c r="V743" t="str">
        <f t="shared" si="34"/>
        <v>mwb</v>
      </c>
      <c r="X743">
        <f t="shared" si="35"/>
        <v>2003</v>
      </c>
    </row>
    <row r="744" spans="1:24">
      <c r="A744" t="s">
        <v>1227</v>
      </c>
      <c r="B744">
        <v>6.7</v>
      </c>
      <c r="C744" s="1">
        <v>37902.379166666673</v>
      </c>
      <c r="D744">
        <v>0</v>
      </c>
      <c r="E744">
        <v>6</v>
      </c>
      <c r="G744">
        <v>0</v>
      </c>
      <c r="H744">
        <v>691</v>
      </c>
      <c r="I744" t="s">
        <v>46</v>
      </c>
      <c r="J744">
        <v>556</v>
      </c>
      <c r="K744">
        <v>0</v>
      </c>
      <c r="L744">
        <v>55.4</v>
      </c>
      <c r="M744" t="s">
        <v>13</v>
      </c>
      <c r="N744">
        <v>32</v>
      </c>
      <c r="O744">
        <v>42.648000000000003</v>
      </c>
      <c r="P744">
        <v>144.57</v>
      </c>
      <c r="Q744" t="s">
        <v>1228</v>
      </c>
      <c r="R744" t="s">
        <v>85</v>
      </c>
      <c r="U744" t="str">
        <f t="shared" si="33"/>
        <v>N km direction of city</v>
      </c>
      <c r="V744" t="str">
        <f t="shared" si="34"/>
        <v>mwc</v>
      </c>
      <c r="X744">
        <f t="shared" si="35"/>
        <v>2003</v>
      </c>
    </row>
    <row r="745" spans="1:24">
      <c r="A745" t="s">
        <v>1229</v>
      </c>
      <c r="B745">
        <v>6.7</v>
      </c>
      <c r="C745" s="1">
        <v>37895.043749999997</v>
      </c>
      <c r="D745">
        <v>0</v>
      </c>
      <c r="E745">
        <v>7</v>
      </c>
      <c r="G745">
        <v>0</v>
      </c>
      <c r="H745">
        <v>691</v>
      </c>
      <c r="I745" t="s">
        <v>46</v>
      </c>
      <c r="J745">
        <v>643</v>
      </c>
      <c r="K745">
        <v>0</v>
      </c>
      <c r="L745">
        <v>24.5</v>
      </c>
      <c r="M745" t="s">
        <v>12</v>
      </c>
      <c r="N745">
        <v>10</v>
      </c>
      <c r="O745">
        <v>50.210999999999999</v>
      </c>
      <c r="P745">
        <v>87.721000000000004</v>
      </c>
      <c r="Q745" t="s">
        <v>1230</v>
      </c>
      <c r="R745" t="s">
        <v>85</v>
      </c>
      <c r="S745" t="s">
        <v>310</v>
      </c>
      <c r="U745" t="str">
        <f t="shared" si="33"/>
        <v>N km direction of city</v>
      </c>
      <c r="V745" t="str">
        <f t="shared" si="34"/>
        <v>mwb</v>
      </c>
      <c r="X745">
        <f t="shared" si="35"/>
        <v>2003</v>
      </c>
    </row>
    <row r="746" spans="1:24">
      <c r="A746" t="s">
        <v>1231</v>
      </c>
      <c r="B746">
        <v>6.5</v>
      </c>
      <c r="C746" s="1">
        <v>37893.10833333333</v>
      </c>
      <c r="D746">
        <v>0</v>
      </c>
      <c r="E746">
        <v>5</v>
      </c>
      <c r="G746">
        <v>0</v>
      </c>
      <c r="H746">
        <v>650</v>
      </c>
      <c r="I746" t="s">
        <v>46</v>
      </c>
      <c r="J746">
        <v>586</v>
      </c>
      <c r="K746">
        <v>0</v>
      </c>
      <c r="L746">
        <v>71.3</v>
      </c>
      <c r="M746" t="s">
        <v>13</v>
      </c>
      <c r="N746">
        <v>25</v>
      </c>
      <c r="O746">
        <v>42.45</v>
      </c>
      <c r="P746">
        <v>144.38</v>
      </c>
      <c r="Q746" t="s">
        <v>1228</v>
      </c>
      <c r="U746" t="str">
        <f t="shared" si="33"/>
        <v>N km direction of city</v>
      </c>
      <c r="V746" t="str">
        <f t="shared" si="34"/>
        <v>mwc</v>
      </c>
      <c r="X746">
        <f t="shared" si="35"/>
        <v>2003</v>
      </c>
    </row>
    <row r="747" spans="1:24">
      <c r="A747" t="s">
        <v>1232</v>
      </c>
      <c r="B747">
        <v>7.3</v>
      </c>
      <c r="C747" s="1">
        <v>37891.481249999997</v>
      </c>
      <c r="D747">
        <v>0</v>
      </c>
      <c r="E747">
        <v>7</v>
      </c>
      <c r="G747">
        <v>0</v>
      </c>
      <c r="H747">
        <v>820</v>
      </c>
      <c r="I747" t="s">
        <v>46</v>
      </c>
      <c r="J747">
        <v>667</v>
      </c>
      <c r="K747">
        <v>0</v>
      </c>
      <c r="L747">
        <v>24.5</v>
      </c>
      <c r="M747" t="s">
        <v>12</v>
      </c>
      <c r="N747">
        <v>16</v>
      </c>
      <c r="O747">
        <v>50.037999999999997</v>
      </c>
      <c r="P747">
        <v>87.813000000000002</v>
      </c>
      <c r="Q747" t="s">
        <v>1230</v>
      </c>
      <c r="R747" t="s">
        <v>85</v>
      </c>
      <c r="S747" t="s">
        <v>310</v>
      </c>
      <c r="U747" t="str">
        <f t="shared" si="33"/>
        <v>N km direction of city</v>
      </c>
      <c r="V747" t="str">
        <f t="shared" si="34"/>
        <v>mwb</v>
      </c>
      <c r="X747">
        <f t="shared" si="35"/>
        <v>2003</v>
      </c>
    </row>
    <row r="748" spans="1:24">
      <c r="A748" t="s">
        <v>1233</v>
      </c>
      <c r="B748">
        <v>7.4</v>
      </c>
      <c r="C748" s="1">
        <v>37889.880555555559</v>
      </c>
      <c r="D748">
        <v>0</v>
      </c>
      <c r="E748">
        <v>7</v>
      </c>
      <c r="G748">
        <v>0</v>
      </c>
      <c r="H748">
        <v>842</v>
      </c>
      <c r="I748" t="s">
        <v>46</v>
      </c>
      <c r="J748">
        <v>514</v>
      </c>
      <c r="K748">
        <v>0</v>
      </c>
      <c r="L748">
        <v>78.8</v>
      </c>
      <c r="M748" t="s">
        <v>13</v>
      </c>
      <c r="N748">
        <v>33</v>
      </c>
      <c r="O748">
        <v>41.774000000000001</v>
      </c>
      <c r="P748">
        <v>143.59299999999999</v>
      </c>
      <c r="Q748" t="s">
        <v>579</v>
      </c>
      <c r="R748" t="s">
        <v>85</v>
      </c>
      <c r="U748" t="str">
        <f t="shared" si="33"/>
        <v>N km direction of city</v>
      </c>
      <c r="V748" t="str">
        <f t="shared" si="34"/>
        <v>mwc</v>
      </c>
      <c r="X748">
        <f t="shared" si="35"/>
        <v>2003</v>
      </c>
    </row>
    <row r="749" spans="1:24">
      <c r="A749" t="s">
        <v>1234</v>
      </c>
      <c r="B749">
        <v>8.16</v>
      </c>
      <c r="C749" s="1">
        <v>37889.826388888891</v>
      </c>
      <c r="D749">
        <v>0</v>
      </c>
      <c r="E749">
        <v>9</v>
      </c>
      <c r="G749">
        <v>0</v>
      </c>
      <c r="H749">
        <v>1024</v>
      </c>
      <c r="I749" t="s">
        <v>839</v>
      </c>
      <c r="J749">
        <v>0</v>
      </c>
      <c r="K749">
        <v>0</v>
      </c>
      <c r="L749">
        <v>0</v>
      </c>
      <c r="M749" t="s">
        <v>14</v>
      </c>
      <c r="N749">
        <v>27</v>
      </c>
      <c r="O749">
        <v>41.814999999999998</v>
      </c>
      <c r="P749">
        <v>143.91</v>
      </c>
      <c r="Q749" t="s">
        <v>1228</v>
      </c>
      <c r="U749" t="str">
        <f t="shared" si="33"/>
        <v>N km direction of city</v>
      </c>
      <c r="V749" t="str">
        <f t="shared" si="34"/>
        <v>mww</v>
      </c>
      <c r="X749">
        <f t="shared" si="35"/>
        <v>2003</v>
      </c>
    </row>
    <row r="750" spans="1:24">
      <c r="A750" t="s">
        <v>1235</v>
      </c>
      <c r="B750">
        <v>6.6</v>
      </c>
      <c r="C750" s="1">
        <v>37885.761111111111</v>
      </c>
      <c r="D750">
        <v>0</v>
      </c>
      <c r="E750">
        <v>7</v>
      </c>
      <c r="G750">
        <v>0</v>
      </c>
      <c r="H750">
        <v>670</v>
      </c>
      <c r="I750" t="s">
        <v>46</v>
      </c>
      <c r="J750">
        <v>518</v>
      </c>
      <c r="K750">
        <v>0</v>
      </c>
      <c r="L750">
        <v>24.7</v>
      </c>
      <c r="M750" t="s">
        <v>12</v>
      </c>
      <c r="N750">
        <v>10</v>
      </c>
      <c r="O750">
        <v>19.917000000000002</v>
      </c>
      <c r="P750">
        <v>95.671999999999997</v>
      </c>
      <c r="Q750" t="s">
        <v>1236</v>
      </c>
      <c r="R750" t="s">
        <v>85</v>
      </c>
      <c r="S750" t="s">
        <v>547</v>
      </c>
      <c r="U750" t="str">
        <f t="shared" si="33"/>
        <v>N km direction of city</v>
      </c>
      <c r="V750" t="str">
        <f t="shared" si="34"/>
        <v>mwb</v>
      </c>
      <c r="X750">
        <f t="shared" si="35"/>
        <v>2003</v>
      </c>
    </row>
    <row r="751" spans="1:24">
      <c r="A751" t="s">
        <v>1237</v>
      </c>
      <c r="B751">
        <v>7.2</v>
      </c>
      <c r="C751" s="1">
        <v>37854.508333333331</v>
      </c>
      <c r="D751">
        <v>0</v>
      </c>
      <c r="E751">
        <v>7</v>
      </c>
      <c r="G751">
        <v>0</v>
      </c>
      <c r="H751">
        <v>798</v>
      </c>
      <c r="I751" t="s">
        <v>46</v>
      </c>
      <c r="J751">
        <v>428</v>
      </c>
      <c r="K751">
        <v>0</v>
      </c>
      <c r="L751">
        <v>17.5</v>
      </c>
      <c r="M751" t="s">
        <v>13</v>
      </c>
      <c r="N751">
        <v>28</v>
      </c>
      <c r="O751">
        <v>-45.103999999999999</v>
      </c>
      <c r="P751">
        <v>167.14400000000001</v>
      </c>
      <c r="Q751" t="s">
        <v>990</v>
      </c>
      <c r="S751" t="s">
        <v>529</v>
      </c>
      <c r="U751" t="str">
        <f t="shared" si="33"/>
        <v>N km direction of city</v>
      </c>
      <c r="V751" t="str">
        <f t="shared" si="34"/>
        <v>mwc</v>
      </c>
      <c r="X751">
        <f t="shared" si="35"/>
        <v>2003</v>
      </c>
    </row>
    <row r="752" spans="1:24">
      <c r="A752" t="s">
        <v>1238</v>
      </c>
      <c r="B752">
        <v>7.6</v>
      </c>
      <c r="C752" s="1">
        <v>37837.192361111112</v>
      </c>
      <c r="D752">
        <v>0</v>
      </c>
      <c r="E752">
        <v>6</v>
      </c>
      <c r="G752">
        <v>0</v>
      </c>
      <c r="H752">
        <v>889</v>
      </c>
      <c r="I752" t="s">
        <v>46</v>
      </c>
      <c r="J752">
        <v>315</v>
      </c>
      <c r="K752">
        <v>0</v>
      </c>
      <c r="L752">
        <v>25.2</v>
      </c>
      <c r="M752" t="s">
        <v>13</v>
      </c>
      <c r="N752">
        <v>10</v>
      </c>
      <c r="O752">
        <v>-60.531999999999996</v>
      </c>
      <c r="P752">
        <v>-43.411000000000001</v>
      </c>
      <c r="Q752" t="s">
        <v>729</v>
      </c>
      <c r="S752" t="s">
        <v>334</v>
      </c>
      <c r="U752" t="str">
        <f t="shared" si="33"/>
        <v>Named-region</v>
      </c>
      <c r="V752" t="str">
        <f t="shared" si="34"/>
        <v>mwc</v>
      </c>
      <c r="X752">
        <f t="shared" si="35"/>
        <v>2003</v>
      </c>
    </row>
    <row r="753" spans="1:24">
      <c r="A753" t="s">
        <v>1239</v>
      </c>
      <c r="B753">
        <v>6.5</v>
      </c>
      <c r="C753" s="1">
        <v>37817.781944444447</v>
      </c>
      <c r="D753">
        <v>0</v>
      </c>
      <c r="E753">
        <v>6</v>
      </c>
      <c r="G753">
        <v>0</v>
      </c>
      <c r="H753">
        <v>650</v>
      </c>
      <c r="I753" t="s">
        <v>46</v>
      </c>
      <c r="J753">
        <v>156</v>
      </c>
      <c r="K753">
        <v>0</v>
      </c>
      <c r="L753">
        <v>31.4</v>
      </c>
      <c r="M753" t="s">
        <v>12</v>
      </c>
      <c r="N753">
        <v>33</v>
      </c>
      <c r="O753">
        <v>-3.8279999999999998</v>
      </c>
      <c r="P753">
        <v>152.17400000000001</v>
      </c>
      <c r="Q753" t="s">
        <v>544</v>
      </c>
      <c r="S753" t="s">
        <v>89</v>
      </c>
      <c r="U753" t="str">
        <f t="shared" si="33"/>
        <v>N km direction of city</v>
      </c>
      <c r="V753" t="str">
        <f t="shared" si="34"/>
        <v>mwb</v>
      </c>
      <c r="X753">
        <f t="shared" si="35"/>
        <v>2003</v>
      </c>
    </row>
    <row r="754" spans="1:24">
      <c r="A754" t="s">
        <v>1240</v>
      </c>
      <c r="B754">
        <v>6.8</v>
      </c>
      <c r="C754" s="1">
        <v>37792.5625</v>
      </c>
      <c r="D754">
        <v>0</v>
      </c>
      <c r="E754">
        <v>7</v>
      </c>
      <c r="G754">
        <v>0</v>
      </c>
      <c r="H754">
        <v>711</v>
      </c>
      <c r="I754" t="s">
        <v>46</v>
      </c>
      <c r="J754">
        <v>398</v>
      </c>
      <c r="K754">
        <v>0</v>
      </c>
      <c r="L754">
        <v>39.1</v>
      </c>
      <c r="M754" t="s">
        <v>13</v>
      </c>
      <c r="N754">
        <v>33</v>
      </c>
      <c r="O754">
        <v>-30.608000000000001</v>
      </c>
      <c r="P754">
        <v>-71.637</v>
      </c>
      <c r="Q754" t="s">
        <v>604</v>
      </c>
      <c r="R754" t="s">
        <v>53</v>
      </c>
      <c r="S754" t="s">
        <v>275</v>
      </c>
      <c r="U754" t="str">
        <f t="shared" si="33"/>
        <v>N km direction of city</v>
      </c>
      <c r="V754" t="str">
        <f t="shared" si="34"/>
        <v>mwc</v>
      </c>
      <c r="X754">
        <f t="shared" si="35"/>
        <v>2003</v>
      </c>
    </row>
    <row r="755" spans="1:24">
      <c r="A755" t="s">
        <v>1241</v>
      </c>
      <c r="B755">
        <v>6.9</v>
      </c>
      <c r="C755" s="1">
        <v>37788.922222222223</v>
      </c>
      <c r="D755">
        <v>0</v>
      </c>
      <c r="E755">
        <v>5</v>
      </c>
      <c r="G755">
        <v>0</v>
      </c>
      <c r="H755">
        <v>732</v>
      </c>
      <c r="I755" t="s">
        <v>46</v>
      </c>
      <c r="J755">
        <v>733</v>
      </c>
      <c r="K755">
        <v>0</v>
      </c>
      <c r="L755">
        <v>26.7</v>
      </c>
      <c r="M755" t="s">
        <v>12</v>
      </c>
      <c r="N755">
        <v>174.8</v>
      </c>
      <c r="O755">
        <v>55.491999999999997</v>
      </c>
      <c r="P755">
        <v>159.999</v>
      </c>
      <c r="Q755" t="s">
        <v>1204</v>
      </c>
      <c r="R755" t="s">
        <v>85</v>
      </c>
      <c r="S755" t="s">
        <v>310</v>
      </c>
      <c r="U755" t="str">
        <f t="shared" si="33"/>
        <v>N km direction of city</v>
      </c>
      <c r="V755" t="str">
        <f t="shared" si="34"/>
        <v>mwb</v>
      </c>
      <c r="X755">
        <f t="shared" si="35"/>
        <v>2003</v>
      </c>
    </row>
    <row r="756" spans="1:24">
      <c r="A756" t="s">
        <v>1242</v>
      </c>
      <c r="B756">
        <v>6.6</v>
      </c>
      <c r="C756" s="1">
        <v>37779.022222222222</v>
      </c>
      <c r="D756">
        <v>0</v>
      </c>
      <c r="E756">
        <v>6</v>
      </c>
      <c r="G756">
        <v>0</v>
      </c>
      <c r="H756">
        <v>670</v>
      </c>
      <c r="I756" t="s">
        <v>46</v>
      </c>
      <c r="J756">
        <v>419</v>
      </c>
      <c r="K756">
        <v>0</v>
      </c>
      <c r="L756">
        <v>27.8</v>
      </c>
      <c r="M756" t="s">
        <v>13</v>
      </c>
      <c r="N756">
        <v>33</v>
      </c>
      <c r="O756">
        <v>-5.0949999999999998</v>
      </c>
      <c r="P756">
        <v>152.50200000000001</v>
      </c>
      <c r="Q756" t="s">
        <v>434</v>
      </c>
      <c r="S756" t="s">
        <v>89</v>
      </c>
      <c r="U756" t="str">
        <f t="shared" si="33"/>
        <v>N km direction of city</v>
      </c>
      <c r="V756" t="str">
        <f t="shared" si="34"/>
        <v>mwc</v>
      </c>
      <c r="X756">
        <f t="shared" si="35"/>
        <v>2003</v>
      </c>
    </row>
    <row r="757" spans="1:24">
      <c r="A757" t="s">
        <v>1243</v>
      </c>
      <c r="B757">
        <v>7</v>
      </c>
      <c r="C757" s="1">
        <v>37767.807638888888</v>
      </c>
      <c r="D757">
        <v>0</v>
      </c>
      <c r="E757">
        <v>6</v>
      </c>
      <c r="G757">
        <v>0</v>
      </c>
      <c r="H757">
        <v>754</v>
      </c>
      <c r="I757" t="s">
        <v>46</v>
      </c>
      <c r="J757">
        <v>473</v>
      </c>
      <c r="K757">
        <v>0</v>
      </c>
      <c r="L757">
        <v>30.3</v>
      </c>
      <c r="M757" t="s">
        <v>13</v>
      </c>
      <c r="N757">
        <v>31</v>
      </c>
      <c r="O757">
        <v>2.3540000000000001</v>
      </c>
      <c r="P757">
        <v>128.85499999999999</v>
      </c>
      <c r="Q757" t="s">
        <v>116</v>
      </c>
      <c r="S757" t="s">
        <v>77</v>
      </c>
      <c r="U757" t="str">
        <f t="shared" si="33"/>
        <v>N km direction of city</v>
      </c>
      <c r="V757" t="str">
        <f t="shared" si="34"/>
        <v>mwc</v>
      </c>
      <c r="X757">
        <f t="shared" si="35"/>
        <v>2003</v>
      </c>
    </row>
    <row r="758" spans="1:24">
      <c r="A758" t="s">
        <v>1244</v>
      </c>
      <c r="B758">
        <v>7</v>
      </c>
      <c r="C758" s="1">
        <v>37767.39166666667</v>
      </c>
      <c r="D758">
        <v>0</v>
      </c>
      <c r="E758">
        <v>7</v>
      </c>
      <c r="G758">
        <v>0</v>
      </c>
      <c r="H758">
        <v>754</v>
      </c>
      <c r="I758" t="s">
        <v>46</v>
      </c>
      <c r="J758">
        <v>690</v>
      </c>
      <c r="K758">
        <v>0</v>
      </c>
      <c r="L758">
        <v>19.100000000000001</v>
      </c>
      <c r="M758" t="s">
        <v>12</v>
      </c>
      <c r="N758">
        <v>68</v>
      </c>
      <c r="O758">
        <v>38.848999999999997</v>
      </c>
      <c r="P758">
        <v>141.56800000000001</v>
      </c>
      <c r="Q758" t="s">
        <v>640</v>
      </c>
      <c r="R758" t="s">
        <v>85</v>
      </c>
      <c r="S758" t="s">
        <v>243</v>
      </c>
      <c r="U758" t="str">
        <f t="shared" si="33"/>
        <v>N km direction of city</v>
      </c>
      <c r="V758" t="str">
        <f t="shared" si="34"/>
        <v>mwb</v>
      </c>
      <c r="X758">
        <f t="shared" si="35"/>
        <v>2003</v>
      </c>
    </row>
    <row r="759" spans="1:24">
      <c r="A759" t="s">
        <v>1245</v>
      </c>
      <c r="B759">
        <v>6.8</v>
      </c>
      <c r="C759" s="1">
        <v>37762.780555555553</v>
      </c>
      <c r="D759">
        <v>0</v>
      </c>
      <c r="E759">
        <v>9</v>
      </c>
      <c r="G759">
        <v>0</v>
      </c>
      <c r="H759">
        <v>711</v>
      </c>
      <c r="I759" t="s">
        <v>46</v>
      </c>
      <c r="J759">
        <v>534</v>
      </c>
      <c r="K759">
        <v>0</v>
      </c>
      <c r="L759">
        <v>19.399999999999999</v>
      </c>
      <c r="M759" t="s">
        <v>13</v>
      </c>
      <c r="N759">
        <v>12</v>
      </c>
      <c r="O759">
        <v>36.963999999999999</v>
      </c>
      <c r="P759">
        <v>3.6339999999999999</v>
      </c>
      <c r="Q759" t="s">
        <v>1246</v>
      </c>
      <c r="S759" t="s">
        <v>1247</v>
      </c>
      <c r="U759" t="str">
        <f t="shared" si="33"/>
        <v>N km direction of city</v>
      </c>
      <c r="V759" t="str">
        <f t="shared" si="34"/>
        <v>mwc</v>
      </c>
      <c r="X759">
        <f t="shared" si="35"/>
        <v>2003</v>
      </c>
    </row>
    <row r="760" spans="1:24">
      <c r="A760" t="s">
        <v>1248</v>
      </c>
      <c r="B760">
        <v>6.5</v>
      </c>
      <c r="C760" s="1">
        <v>37705.120138888888</v>
      </c>
      <c r="D760">
        <v>0</v>
      </c>
      <c r="E760">
        <v>7</v>
      </c>
      <c r="G760">
        <v>0</v>
      </c>
      <c r="H760">
        <v>650</v>
      </c>
      <c r="I760" t="s">
        <v>46</v>
      </c>
      <c r="J760">
        <v>247</v>
      </c>
      <c r="K760">
        <v>0</v>
      </c>
      <c r="L760">
        <v>28.7</v>
      </c>
      <c r="M760" t="s">
        <v>13</v>
      </c>
      <c r="N760">
        <v>33</v>
      </c>
      <c r="O760">
        <v>-8.2940000000000005</v>
      </c>
      <c r="P760">
        <v>120.74299999999999</v>
      </c>
      <c r="Q760" t="s">
        <v>1249</v>
      </c>
      <c r="S760" t="s">
        <v>77</v>
      </c>
      <c r="U760" t="str">
        <f t="shared" si="33"/>
        <v>N km direction of city</v>
      </c>
      <c r="V760" t="str">
        <f t="shared" si="34"/>
        <v>mwc</v>
      </c>
      <c r="X760">
        <f t="shared" si="35"/>
        <v>2003</v>
      </c>
    </row>
    <row r="761" spans="1:24">
      <c r="A761" t="s">
        <v>1250</v>
      </c>
      <c r="B761">
        <v>6.8</v>
      </c>
      <c r="C761" s="1">
        <v>37691.310416666667</v>
      </c>
      <c r="D761">
        <v>0</v>
      </c>
      <c r="E761">
        <v>7</v>
      </c>
      <c r="G761">
        <v>0</v>
      </c>
      <c r="H761">
        <v>711</v>
      </c>
      <c r="I761" t="s">
        <v>46</v>
      </c>
      <c r="J761">
        <v>431</v>
      </c>
      <c r="K761">
        <v>0</v>
      </c>
      <c r="L761">
        <v>38.4</v>
      </c>
      <c r="M761" t="s">
        <v>13</v>
      </c>
      <c r="N761">
        <v>40.200000000000003</v>
      </c>
      <c r="O761">
        <v>-4.694</v>
      </c>
      <c r="P761">
        <v>153.238</v>
      </c>
      <c r="Q761" t="s">
        <v>434</v>
      </c>
      <c r="S761" t="s">
        <v>89</v>
      </c>
      <c r="U761" t="str">
        <f t="shared" si="33"/>
        <v>N km direction of city</v>
      </c>
      <c r="V761" t="str">
        <f t="shared" si="34"/>
        <v>mwc</v>
      </c>
      <c r="X761">
        <f t="shared" si="35"/>
        <v>2003</v>
      </c>
    </row>
    <row r="762" spans="1:24">
      <c r="A762" t="s">
        <v>1251</v>
      </c>
      <c r="B762">
        <v>7.6</v>
      </c>
      <c r="C762" s="1">
        <v>37643.087500000001</v>
      </c>
      <c r="D762">
        <v>0</v>
      </c>
      <c r="E762">
        <v>7</v>
      </c>
      <c r="G762">
        <v>0</v>
      </c>
      <c r="H762">
        <v>889</v>
      </c>
      <c r="I762" t="s">
        <v>46</v>
      </c>
      <c r="J762">
        <v>551</v>
      </c>
      <c r="K762">
        <v>0</v>
      </c>
      <c r="L762">
        <v>0</v>
      </c>
      <c r="M762" t="s">
        <v>12</v>
      </c>
      <c r="N762">
        <v>24</v>
      </c>
      <c r="O762">
        <v>18.77</v>
      </c>
      <c r="P762">
        <v>-104.104</v>
      </c>
      <c r="Q762" t="s">
        <v>1252</v>
      </c>
      <c r="R762" t="s">
        <v>139</v>
      </c>
      <c r="S762" t="s">
        <v>140</v>
      </c>
      <c r="U762" t="str">
        <f t="shared" si="33"/>
        <v>N km direction of city</v>
      </c>
      <c r="V762" t="str">
        <f t="shared" si="34"/>
        <v>mwb</v>
      </c>
      <c r="X762">
        <f t="shared" si="35"/>
        <v>2003</v>
      </c>
    </row>
    <row r="763" spans="1:24">
      <c r="A763" t="s">
        <v>1253</v>
      </c>
      <c r="B763">
        <v>6.5</v>
      </c>
      <c r="C763" s="1">
        <v>37642.115277777782</v>
      </c>
      <c r="D763">
        <v>0</v>
      </c>
      <c r="E763">
        <v>6</v>
      </c>
      <c r="G763">
        <v>0</v>
      </c>
      <c r="H763">
        <v>650</v>
      </c>
      <c r="I763" t="s">
        <v>46</v>
      </c>
      <c r="J763">
        <v>316</v>
      </c>
      <c r="K763">
        <v>0</v>
      </c>
      <c r="L763">
        <v>0</v>
      </c>
      <c r="M763" t="s">
        <v>13</v>
      </c>
      <c r="N763">
        <v>24</v>
      </c>
      <c r="O763">
        <v>13.625999999999999</v>
      </c>
      <c r="P763">
        <v>-90.774000000000001</v>
      </c>
      <c r="Q763" t="s">
        <v>482</v>
      </c>
      <c r="U763" t="str">
        <f t="shared" si="33"/>
        <v>N km direction of city</v>
      </c>
      <c r="V763" t="str">
        <f t="shared" si="34"/>
        <v>mwc</v>
      </c>
      <c r="X763">
        <f t="shared" si="35"/>
        <v>2003</v>
      </c>
    </row>
    <row r="764" spans="1:24">
      <c r="A764" t="s">
        <v>1254</v>
      </c>
      <c r="B764">
        <v>7.3</v>
      </c>
      <c r="C764" s="1">
        <v>37641.363194444442</v>
      </c>
      <c r="D764">
        <v>0</v>
      </c>
      <c r="E764">
        <v>6</v>
      </c>
      <c r="G764">
        <v>0</v>
      </c>
      <c r="H764">
        <v>820</v>
      </c>
      <c r="I764" t="s">
        <v>46</v>
      </c>
      <c r="J764">
        <v>457</v>
      </c>
      <c r="K764">
        <v>0</v>
      </c>
      <c r="L764">
        <v>0</v>
      </c>
      <c r="M764" t="s">
        <v>13</v>
      </c>
      <c r="N764">
        <v>33</v>
      </c>
      <c r="O764">
        <v>-10.491</v>
      </c>
      <c r="P764">
        <v>160.77000000000001</v>
      </c>
      <c r="Q764" t="s">
        <v>406</v>
      </c>
      <c r="U764" t="str">
        <f t="shared" si="33"/>
        <v>N km direction of city</v>
      </c>
      <c r="V764" t="str">
        <f t="shared" si="34"/>
        <v>mwc</v>
      </c>
      <c r="X764">
        <f t="shared" si="35"/>
        <v>2003</v>
      </c>
    </row>
    <row r="765" spans="1:24">
      <c r="A765" t="s">
        <v>1255</v>
      </c>
      <c r="B765">
        <v>6.7</v>
      </c>
      <c r="C765" s="1">
        <v>37631.549305555563</v>
      </c>
      <c r="D765">
        <v>0</v>
      </c>
      <c r="E765">
        <v>5</v>
      </c>
      <c r="G765">
        <v>0</v>
      </c>
      <c r="H765">
        <v>691</v>
      </c>
      <c r="I765" t="s">
        <v>46</v>
      </c>
      <c r="J765">
        <v>323</v>
      </c>
      <c r="K765">
        <v>0</v>
      </c>
      <c r="L765">
        <v>0</v>
      </c>
      <c r="M765" t="s">
        <v>12</v>
      </c>
      <c r="N765">
        <v>71.900000000000006</v>
      </c>
      <c r="O765">
        <v>-5.3109999999999999</v>
      </c>
      <c r="P765">
        <v>153.70099999999999</v>
      </c>
      <c r="Q765" t="s">
        <v>434</v>
      </c>
      <c r="U765" t="str">
        <f t="shared" si="33"/>
        <v>N km direction of city</v>
      </c>
      <c r="V765" t="str">
        <f t="shared" si="34"/>
        <v>mwb</v>
      </c>
      <c r="X765">
        <f t="shared" si="35"/>
        <v>2003</v>
      </c>
    </row>
    <row r="766" spans="1:24">
      <c r="A766" t="s">
        <v>1256</v>
      </c>
      <c r="B766">
        <v>6.7</v>
      </c>
      <c r="C766" s="1">
        <v>37602.354166666657</v>
      </c>
      <c r="D766">
        <v>0</v>
      </c>
      <c r="E766">
        <v>6</v>
      </c>
      <c r="G766">
        <v>0</v>
      </c>
      <c r="H766">
        <v>691</v>
      </c>
      <c r="I766" t="s">
        <v>46</v>
      </c>
      <c r="J766">
        <v>453</v>
      </c>
      <c r="K766">
        <v>0</v>
      </c>
      <c r="L766">
        <v>0</v>
      </c>
      <c r="M766" t="s">
        <v>12</v>
      </c>
      <c r="N766">
        <v>34</v>
      </c>
      <c r="O766">
        <v>-4.7859999999999996</v>
      </c>
      <c r="P766">
        <v>153.27500000000001</v>
      </c>
      <c r="Q766" t="s">
        <v>1257</v>
      </c>
      <c r="S766" t="s">
        <v>89</v>
      </c>
      <c r="U766" t="str">
        <f t="shared" si="33"/>
        <v>Named-region</v>
      </c>
      <c r="V766" t="str">
        <f t="shared" si="34"/>
        <v>mwb</v>
      </c>
      <c r="X766">
        <f t="shared" si="35"/>
        <v>2002</v>
      </c>
    </row>
    <row r="767" spans="1:24">
      <c r="A767" t="s">
        <v>1258</v>
      </c>
      <c r="B767">
        <v>7.9</v>
      </c>
      <c r="C767" s="1">
        <v>37563.925000000003</v>
      </c>
      <c r="D767">
        <v>8</v>
      </c>
      <c r="E767">
        <v>9</v>
      </c>
      <c r="G767">
        <v>0</v>
      </c>
      <c r="H767">
        <v>1750</v>
      </c>
      <c r="I767" t="s">
        <v>202</v>
      </c>
      <c r="J767">
        <v>0</v>
      </c>
      <c r="K767">
        <v>0</v>
      </c>
      <c r="L767">
        <v>0</v>
      </c>
      <c r="M767" t="s">
        <v>11</v>
      </c>
      <c r="N767">
        <v>4.2</v>
      </c>
      <c r="O767">
        <v>63.514099999999999</v>
      </c>
      <c r="P767">
        <v>-147.453</v>
      </c>
      <c r="Q767" t="s">
        <v>1259</v>
      </c>
      <c r="R767" t="s">
        <v>139</v>
      </c>
      <c r="S767" t="s">
        <v>204</v>
      </c>
      <c r="U767" t="str">
        <f t="shared" si="33"/>
        <v>N km direction of city</v>
      </c>
      <c r="V767" t="str">
        <f t="shared" si="34"/>
        <v>mw</v>
      </c>
      <c r="X767">
        <f t="shared" si="35"/>
        <v>2002</v>
      </c>
    </row>
    <row r="768" spans="1:24">
      <c r="A768" t="s">
        <v>1260</v>
      </c>
      <c r="B768">
        <v>7.4</v>
      </c>
      <c r="C768" s="1">
        <v>37562.05972222222</v>
      </c>
      <c r="D768">
        <v>0</v>
      </c>
      <c r="E768">
        <v>7</v>
      </c>
      <c r="G768">
        <v>0</v>
      </c>
      <c r="H768">
        <v>842</v>
      </c>
      <c r="I768" t="s">
        <v>46</v>
      </c>
      <c r="J768">
        <v>418</v>
      </c>
      <c r="K768">
        <v>0</v>
      </c>
      <c r="L768">
        <v>0</v>
      </c>
      <c r="M768" t="s">
        <v>12</v>
      </c>
      <c r="N768">
        <v>30</v>
      </c>
      <c r="O768">
        <v>2.8239999999999998</v>
      </c>
      <c r="P768">
        <v>96.084999999999994</v>
      </c>
      <c r="Q768" t="s">
        <v>240</v>
      </c>
      <c r="S768" t="s">
        <v>77</v>
      </c>
      <c r="U768" t="str">
        <f t="shared" si="33"/>
        <v>N km direction of city</v>
      </c>
      <c r="V768" t="str">
        <f t="shared" si="34"/>
        <v>mwb</v>
      </c>
      <c r="X768">
        <f t="shared" si="35"/>
        <v>2002</v>
      </c>
    </row>
    <row r="769" spans="1:24">
      <c r="A769" t="s">
        <v>1261</v>
      </c>
      <c r="B769">
        <v>6.6</v>
      </c>
      <c r="C769" s="1">
        <v>37552.477083333331</v>
      </c>
      <c r="D769">
        <v>0</v>
      </c>
      <c r="E769">
        <v>7</v>
      </c>
      <c r="G769">
        <v>0</v>
      </c>
      <c r="H769">
        <v>670</v>
      </c>
      <c r="I769" t="s">
        <v>202</v>
      </c>
      <c r="J769">
        <v>0</v>
      </c>
      <c r="K769">
        <v>0</v>
      </c>
      <c r="L769">
        <v>0</v>
      </c>
      <c r="M769" t="s">
        <v>11</v>
      </c>
      <c r="N769">
        <v>4.2</v>
      </c>
      <c r="O769">
        <v>63.514400000000002</v>
      </c>
      <c r="P769">
        <v>-147.91200000000001</v>
      </c>
      <c r="Q769" t="s">
        <v>1259</v>
      </c>
      <c r="R769" t="s">
        <v>139</v>
      </c>
      <c r="S769" t="s">
        <v>204</v>
      </c>
      <c r="U769" t="str">
        <f t="shared" si="33"/>
        <v>N km direction of city</v>
      </c>
      <c r="V769" t="str">
        <f t="shared" si="34"/>
        <v>mw</v>
      </c>
      <c r="X769">
        <f t="shared" si="35"/>
        <v>2002</v>
      </c>
    </row>
    <row r="770" spans="1:24">
      <c r="A770" t="s">
        <v>1262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46</v>
      </c>
      <c r="J770">
        <v>250</v>
      </c>
      <c r="K770">
        <v>0</v>
      </c>
      <c r="L770">
        <v>0</v>
      </c>
      <c r="M770" t="s">
        <v>10</v>
      </c>
      <c r="N770">
        <v>10</v>
      </c>
      <c r="O770">
        <v>-1.5109999999999999</v>
      </c>
      <c r="P770">
        <v>133.97300000000001</v>
      </c>
      <c r="Q770" t="s">
        <v>827</v>
      </c>
      <c r="S770" t="s">
        <v>77</v>
      </c>
      <c r="U770" t="str">
        <f t="shared" ref="U770:U833" si="36">IF(ISNUMBER(SEARCH("km",A770)),"N km direction of city","Named-region")</f>
        <v>N km direction of city</v>
      </c>
      <c r="V770" t="str">
        <f t="shared" ref="V770:V833" si="37">LOWER(M770)</f>
        <v>ms</v>
      </c>
      <c r="X770">
        <f t="shared" ref="X770:X833" si="38">YEAR(C770)</f>
        <v>2002</v>
      </c>
    </row>
    <row r="771" spans="1:24">
      <c r="A771" t="s">
        <v>1263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46</v>
      </c>
      <c r="J771">
        <v>375</v>
      </c>
      <c r="K771">
        <v>0</v>
      </c>
      <c r="L771">
        <v>0</v>
      </c>
      <c r="M771" t="s">
        <v>13</v>
      </c>
      <c r="N771">
        <v>10</v>
      </c>
      <c r="O771">
        <v>-1.7569999999999999</v>
      </c>
      <c r="P771">
        <v>134.297</v>
      </c>
      <c r="Q771" t="s">
        <v>827</v>
      </c>
      <c r="S771" t="s">
        <v>77</v>
      </c>
      <c r="U771" t="str">
        <f t="shared" si="36"/>
        <v>N km direction of city</v>
      </c>
      <c r="V771" t="str">
        <f t="shared" si="37"/>
        <v>mwc</v>
      </c>
      <c r="X771">
        <f t="shared" si="38"/>
        <v>2002</v>
      </c>
    </row>
    <row r="772" spans="1:24">
      <c r="A772" t="s">
        <v>1264</v>
      </c>
      <c r="B772">
        <v>6.5</v>
      </c>
      <c r="C772" s="1">
        <v>37512.936111111107</v>
      </c>
      <c r="D772">
        <v>0</v>
      </c>
      <c r="E772">
        <v>6</v>
      </c>
      <c r="G772">
        <v>0</v>
      </c>
      <c r="H772">
        <v>650</v>
      </c>
      <c r="I772" t="s">
        <v>46</v>
      </c>
      <c r="J772">
        <v>646</v>
      </c>
      <c r="K772">
        <v>0</v>
      </c>
      <c r="L772">
        <v>0</v>
      </c>
      <c r="M772" t="s">
        <v>13</v>
      </c>
      <c r="N772">
        <v>21</v>
      </c>
      <c r="O772">
        <v>13.036</v>
      </c>
      <c r="P772">
        <v>93.067999999999998</v>
      </c>
      <c r="Q772" t="s">
        <v>941</v>
      </c>
      <c r="S772" t="s">
        <v>584</v>
      </c>
      <c r="U772" t="str">
        <f t="shared" si="36"/>
        <v>N km direction of city</v>
      </c>
      <c r="V772" t="str">
        <f t="shared" si="37"/>
        <v>mwc</v>
      </c>
      <c r="X772">
        <f t="shared" si="38"/>
        <v>2002</v>
      </c>
    </row>
    <row r="773" spans="1:24">
      <c r="A773" t="s">
        <v>1265</v>
      </c>
      <c r="B773">
        <v>7.6</v>
      </c>
      <c r="C773" s="1">
        <v>37507.780555555553</v>
      </c>
      <c r="D773">
        <v>0</v>
      </c>
      <c r="E773">
        <v>7</v>
      </c>
      <c r="G773">
        <v>0</v>
      </c>
      <c r="H773">
        <v>889</v>
      </c>
      <c r="I773" t="s">
        <v>46</v>
      </c>
      <c r="J773">
        <v>428</v>
      </c>
      <c r="K773">
        <v>0</v>
      </c>
      <c r="L773">
        <v>0</v>
      </c>
      <c r="M773" t="s">
        <v>13</v>
      </c>
      <c r="N773">
        <v>13</v>
      </c>
      <c r="O773">
        <v>-3.302</v>
      </c>
      <c r="P773">
        <v>142.94499999999999</v>
      </c>
      <c r="Q773" t="s">
        <v>776</v>
      </c>
      <c r="S773" t="s">
        <v>89</v>
      </c>
      <c r="U773" t="str">
        <f t="shared" si="36"/>
        <v>N km direction of city</v>
      </c>
      <c r="V773" t="str">
        <f t="shared" si="37"/>
        <v>mwc</v>
      </c>
      <c r="X773">
        <f t="shared" si="38"/>
        <v>2002</v>
      </c>
    </row>
    <row r="774" spans="1:24">
      <c r="A774" t="s">
        <v>1266</v>
      </c>
      <c r="B774">
        <v>6.5</v>
      </c>
      <c r="C774" s="1">
        <v>37482.581250000003</v>
      </c>
      <c r="D774">
        <v>0</v>
      </c>
      <c r="E774">
        <v>4</v>
      </c>
      <c r="G774">
        <v>0</v>
      </c>
      <c r="H774">
        <v>650</v>
      </c>
      <c r="I774" t="s">
        <v>46</v>
      </c>
      <c r="J774">
        <v>260</v>
      </c>
      <c r="K774">
        <v>0</v>
      </c>
      <c r="L774">
        <v>0</v>
      </c>
      <c r="M774" t="s">
        <v>13</v>
      </c>
      <c r="N774">
        <v>30</v>
      </c>
      <c r="O774">
        <v>14.101000000000001</v>
      </c>
      <c r="P774">
        <v>146.19900000000001</v>
      </c>
      <c r="Q774" t="s">
        <v>1267</v>
      </c>
      <c r="U774" t="str">
        <f t="shared" si="36"/>
        <v>N km direction of city</v>
      </c>
      <c r="V774" t="str">
        <f t="shared" si="37"/>
        <v>mwc</v>
      </c>
      <c r="X774">
        <f t="shared" si="38"/>
        <v>2002</v>
      </c>
    </row>
    <row r="775" spans="1:24">
      <c r="A775" t="s">
        <v>1268</v>
      </c>
      <c r="B775">
        <v>6.5</v>
      </c>
      <c r="C775" s="1">
        <v>37468.011111111111</v>
      </c>
      <c r="D775">
        <v>0</v>
      </c>
      <c r="E775">
        <v>7</v>
      </c>
      <c r="G775">
        <v>0</v>
      </c>
      <c r="H775">
        <v>650</v>
      </c>
      <c r="I775" t="s">
        <v>46</v>
      </c>
      <c r="J775">
        <v>533</v>
      </c>
      <c r="K775">
        <v>0</v>
      </c>
      <c r="L775">
        <v>0</v>
      </c>
      <c r="M775" t="s">
        <v>13</v>
      </c>
      <c r="N775">
        <v>10</v>
      </c>
      <c r="O775">
        <v>7.9290000000000003</v>
      </c>
      <c r="P775">
        <v>-82.793000000000006</v>
      </c>
      <c r="Q775" t="s">
        <v>663</v>
      </c>
      <c r="S775" t="s">
        <v>136</v>
      </c>
      <c r="U775" t="str">
        <f t="shared" si="36"/>
        <v>N km direction of city</v>
      </c>
      <c r="V775" t="str">
        <f t="shared" si="37"/>
        <v>mwc</v>
      </c>
      <c r="X775">
        <f t="shared" si="38"/>
        <v>2002</v>
      </c>
    </row>
    <row r="776" spans="1:24">
      <c r="A776" t="s">
        <v>1269</v>
      </c>
      <c r="B776">
        <v>6.5</v>
      </c>
      <c r="C776" s="1">
        <v>37429.123611111107</v>
      </c>
      <c r="D776">
        <v>0</v>
      </c>
      <c r="E776">
        <v>8</v>
      </c>
      <c r="G776">
        <v>0</v>
      </c>
      <c r="H776">
        <v>650</v>
      </c>
      <c r="I776" t="s">
        <v>46</v>
      </c>
      <c r="J776">
        <v>555</v>
      </c>
      <c r="K776">
        <v>0</v>
      </c>
      <c r="L776">
        <v>0</v>
      </c>
      <c r="M776" t="s">
        <v>13</v>
      </c>
      <c r="N776">
        <v>10</v>
      </c>
      <c r="O776">
        <v>35.625999999999998</v>
      </c>
      <c r="P776">
        <v>49.046999999999997</v>
      </c>
      <c r="Q776" t="s">
        <v>1270</v>
      </c>
      <c r="R776" t="s">
        <v>85</v>
      </c>
      <c r="S776" t="s">
        <v>457</v>
      </c>
      <c r="U776" t="str">
        <f t="shared" si="36"/>
        <v>N km direction of city</v>
      </c>
      <c r="V776" t="str">
        <f t="shared" si="37"/>
        <v>mwc</v>
      </c>
      <c r="X776">
        <f t="shared" si="38"/>
        <v>2002</v>
      </c>
    </row>
    <row r="777" spans="1:24">
      <c r="A777" t="s">
        <v>1271</v>
      </c>
      <c r="B777">
        <v>6.6</v>
      </c>
      <c r="C777" s="1">
        <v>37425.580555555563</v>
      </c>
      <c r="D777">
        <v>0</v>
      </c>
      <c r="E777">
        <v>7</v>
      </c>
      <c r="G777">
        <v>0</v>
      </c>
      <c r="H777">
        <v>670</v>
      </c>
      <c r="I777" t="s">
        <v>46</v>
      </c>
      <c r="J777">
        <v>420</v>
      </c>
      <c r="K777">
        <v>0</v>
      </c>
      <c r="L777">
        <v>0</v>
      </c>
      <c r="M777" t="s">
        <v>12</v>
      </c>
      <c r="N777">
        <v>54</v>
      </c>
      <c r="O777">
        <v>-30.805</v>
      </c>
      <c r="P777">
        <v>-71.123999999999995</v>
      </c>
      <c r="Q777" t="s">
        <v>1272</v>
      </c>
      <c r="R777" t="s">
        <v>53</v>
      </c>
      <c r="S777" t="s">
        <v>275</v>
      </c>
      <c r="U777" t="str">
        <f t="shared" si="36"/>
        <v>N km direction of city</v>
      </c>
      <c r="V777" t="str">
        <f t="shared" si="37"/>
        <v>mwb</v>
      </c>
      <c r="X777">
        <f t="shared" si="38"/>
        <v>2002</v>
      </c>
    </row>
    <row r="778" spans="1:24">
      <c r="A778" t="s">
        <v>1273</v>
      </c>
      <c r="B778">
        <v>6.7</v>
      </c>
      <c r="C778" s="1">
        <v>37424.893055555563</v>
      </c>
      <c r="D778">
        <v>0</v>
      </c>
      <c r="E778">
        <v>5</v>
      </c>
      <c r="G778">
        <v>0</v>
      </c>
      <c r="H778">
        <v>691</v>
      </c>
      <c r="I778" t="s">
        <v>46</v>
      </c>
      <c r="J778">
        <v>272</v>
      </c>
      <c r="K778">
        <v>0</v>
      </c>
      <c r="L778">
        <v>0</v>
      </c>
      <c r="M778" t="s">
        <v>13</v>
      </c>
      <c r="N778">
        <v>33</v>
      </c>
      <c r="O778">
        <v>-12.592000000000001</v>
      </c>
      <c r="P778">
        <v>166.38300000000001</v>
      </c>
      <c r="Q778" t="s">
        <v>47</v>
      </c>
      <c r="U778" t="str">
        <f t="shared" si="36"/>
        <v>N km direction of city</v>
      </c>
      <c r="V778" t="str">
        <f t="shared" si="37"/>
        <v>mwc</v>
      </c>
      <c r="X778">
        <f t="shared" si="38"/>
        <v>2002</v>
      </c>
    </row>
    <row r="779" spans="1:24">
      <c r="A779" t="s">
        <v>1274</v>
      </c>
      <c r="B779">
        <v>7.1</v>
      </c>
      <c r="C779" s="1">
        <v>37372.67083333333</v>
      </c>
      <c r="D779">
        <v>0</v>
      </c>
      <c r="E779">
        <v>7</v>
      </c>
      <c r="G779">
        <v>0</v>
      </c>
      <c r="H779">
        <v>776</v>
      </c>
      <c r="I779" t="s">
        <v>46</v>
      </c>
      <c r="J779">
        <v>257</v>
      </c>
      <c r="K779">
        <v>0</v>
      </c>
      <c r="L779">
        <v>0</v>
      </c>
      <c r="M779" t="s">
        <v>13</v>
      </c>
      <c r="N779">
        <v>85.7</v>
      </c>
      <c r="O779">
        <v>13.087999999999999</v>
      </c>
      <c r="P779">
        <v>144.619</v>
      </c>
      <c r="Q779" t="s">
        <v>1275</v>
      </c>
      <c r="S779" t="s">
        <v>204</v>
      </c>
      <c r="U779" t="str">
        <f t="shared" si="36"/>
        <v>N km direction of city</v>
      </c>
      <c r="V779" t="str">
        <f t="shared" si="37"/>
        <v>mwc</v>
      </c>
      <c r="X779">
        <f t="shared" si="38"/>
        <v>2002</v>
      </c>
    </row>
    <row r="780" spans="1:24">
      <c r="A780" t="s">
        <v>1276</v>
      </c>
      <c r="B780">
        <v>6.7</v>
      </c>
      <c r="C780" s="1">
        <v>37364.672222222223</v>
      </c>
      <c r="D780">
        <v>0</v>
      </c>
      <c r="E780">
        <v>7</v>
      </c>
      <c r="G780">
        <v>0</v>
      </c>
      <c r="H780">
        <v>691</v>
      </c>
      <c r="I780" t="s">
        <v>46</v>
      </c>
      <c r="J780">
        <v>462</v>
      </c>
      <c r="K780">
        <v>0</v>
      </c>
      <c r="L780">
        <v>0</v>
      </c>
      <c r="M780" t="s">
        <v>12</v>
      </c>
      <c r="N780">
        <v>62</v>
      </c>
      <c r="O780">
        <v>-27.535</v>
      </c>
      <c r="P780">
        <v>-70.585999999999999</v>
      </c>
      <c r="Q780" t="s">
        <v>1116</v>
      </c>
      <c r="R780" t="s">
        <v>53</v>
      </c>
      <c r="S780" t="s">
        <v>275</v>
      </c>
      <c r="U780" t="str">
        <f t="shared" si="36"/>
        <v>N km direction of city</v>
      </c>
      <c r="V780" t="str">
        <f t="shared" si="37"/>
        <v>mwb</v>
      </c>
      <c r="X780">
        <f t="shared" si="38"/>
        <v>2002</v>
      </c>
    </row>
    <row r="781" spans="1:24">
      <c r="A781" t="s">
        <v>1277</v>
      </c>
      <c r="B781">
        <v>6.8</v>
      </c>
      <c r="C781" s="1">
        <v>37364.209722222222</v>
      </c>
      <c r="D781">
        <v>0</v>
      </c>
      <c r="E781">
        <v>6</v>
      </c>
      <c r="G781">
        <v>0</v>
      </c>
      <c r="H781">
        <v>711</v>
      </c>
      <c r="I781" t="s">
        <v>46</v>
      </c>
      <c r="J781">
        <v>292</v>
      </c>
      <c r="K781">
        <v>0</v>
      </c>
      <c r="L781">
        <v>0</v>
      </c>
      <c r="M781" t="s">
        <v>13</v>
      </c>
      <c r="N781">
        <v>24.9</v>
      </c>
      <c r="O781">
        <v>16.984999999999999</v>
      </c>
      <c r="P781">
        <v>-100.86499999999999</v>
      </c>
      <c r="Q781" t="s">
        <v>1278</v>
      </c>
      <c r="R781" t="s">
        <v>139</v>
      </c>
      <c r="U781" t="str">
        <f t="shared" si="36"/>
        <v>N km direction of city</v>
      </c>
      <c r="V781" t="str">
        <f t="shared" si="37"/>
        <v>mwc</v>
      </c>
      <c r="X781">
        <f t="shared" si="38"/>
        <v>2002</v>
      </c>
    </row>
    <row r="782" spans="1:24">
      <c r="A782" t="s">
        <v>1279</v>
      </c>
      <c r="B782">
        <v>7.1</v>
      </c>
      <c r="C782" s="1">
        <v>37346.286111111112</v>
      </c>
      <c r="D782">
        <v>0</v>
      </c>
      <c r="E782">
        <v>6</v>
      </c>
      <c r="G782">
        <v>0</v>
      </c>
      <c r="H782">
        <v>776</v>
      </c>
      <c r="I782" t="s">
        <v>46</v>
      </c>
      <c r="J782">
        <v>550</v>
      </c>
      <c r="K782">
        <v>0</v>
      </c>
      <c r="L782">
        <v>0</v>
      </c>
      <c r="M782" t="s">
        <v>13</v>
      </c>
      <c r="N782">
        <v>32.799999999999997</v>
      </c>
      <c r="O782">
        <v>24.279</v>
      </c>
      <c r="P782">
        <v>122.179</v>
      </c>
      <c r="Q782" t="s">
        <v>173</v>
      </c>
      <c r="R782" t="s">
        <v>85</v>
      </c>
      <c r="U782" t="str">
        <f t="shared" si="36"/>
        <v>N km direction of city</v>
      </c>
      <c r="V782" t="str">
        <f t="shared" si="37"/>
        <v>mwc</v>
      </c>
      <c r="X782">
        <f t="shared" si="38"/>
        <v>2002</v>
      </c>
    </row>
    <row r="783" spans="1:24">
      <c r="A783" t="s">
        <v>1280</v>
      </c>
      <c r="B783">
        <v>6.5</v>
      </c>
      <c r="C783" s="1">
        <v>37343.205555555563</v>
      </c>
      <c r="D783">
        <v>0</v>
      </c>
      <c r="E783">
        <v>5</v>
      </c>
      <c r="G783">
        <v>0</v>
      </c>
      <c r="H783">
        <v>650</v>
      </c>
      <c r="I783" t="s">
        <v>46</v>
      </c>
      <c r="J783">
        <v>486</v>
      </c>
      <c r="K783">
        <v>0</v>
      </c>
      <c r="L783">
        <v>0</v>
      </c>
      <c r="M783" t="s">
        <v>13</v>
      </c>
      <c r="N783">
        <v>125.1</v>
      </c>
      <c r="O783">
        <v>-21.663</v>
      </c>
      <c r="P783">
        <v>-68.328999999999994</v>
      </c>
      <c r="Q783" t="s">
        <v>1281</v>
      </c>
      <c r="R783" t="s">
        <v>53</v>
      </c>
      <c r="S783" t="s">
        <v>275</v>
      </c>
      <c r="U783" t="str">
        <f t="shared" si="36"/>
        <v>N km direction of city</v>
      </c>
      <c r="V783" t="str">
        <f t="shared" si="37"/>
        <v>mwc</v>
      </c>
      <c r="X783">
        <f t="shared" si="38"/>
        <v>2002</v>
      </c>
    </row>
    <row r="784" spans="1:24">
      <c r="A784" t="s">
        <v>1282</v>
      </c>
      <c r="B784">
        <v>7.5</v>
      </c>
      <c r="C784" s="1">
        <v>37320.886111111111</v>
      </c>
      <c r="D784">
        <v>0</v>
      </c>
      <c r="E784">
        <v>7</v>
      </c>
      <c r="G784">
        <v>0</v>
      </c>
      <c r="H784">
        <v>865</v>
      </c>
      <c r="I784" t="s">
        <v>46</v>
      </c>
      <c r="J784">
        <v>321</v>
      </c>
      <c r="K784">
        <v>0</v>
      </c>
      <c r="L784">
        <v>0</v>
      </c>
      <c r="M784" t="s">
        <v>13</v>
      </c>
      <c r="N784">
        <v>31</v>
      </c>
      <c r="O784">
        <v>6.0330000000000004</v>
      </c>
      <c r="P784">
        <v>124.249</v>
      </c>
      <c r="Q784" t="s">
        <v>1283</v>
      </c>
      <c r="S784" t="s">
        <v>158</v>
      </c>
      <c r="U784" t="str">
        <f t="shared" si="36"/>
        <v>Named-region</v>
      </c>
      <c r="V784" t="str">
        <f t="shared" si="37"/>
        <v>mwc</v>
      </c>
      <c r="X784">
        <f t="shared" si="38"/>
        <v>2002</v>
      </c>
    </row>
    <row r="785" spans="1:24">
      <c r="A785" t="s">
        <v>1284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46</v>
      </c>
      <c r="J785">
        <v>138</v>
      </c>
      <c r="K785">
        <v>0</v>
      </c>
      <c r="L785">
        <v>0</v>
      </c>
      <c r="M785" t="s">
        <v>13</v>
      </c>
      <c r="N785">
        <v>225.6</v>
      </c>
      <c r="O785">
        <v>36.502000000000002</v>
      </c>
      <c r="P785">
        <v>70.481999999999999</v>
      </c>
      <c r="Q785" t="s">
        <v>93</v>
      </c>
      <c r="R785" t="s">
        <v>85</v>
      </c>
      <c r="S785" t="s">
        <v>94</v>
      </c>
      <c r="U785" t="str">
        <f t="shared" si="36"/>
        <v>N km direction of city</v>
      </c>
      <c r="V785" t="str">
        <f t="shared" si="37"/>
        <v>mwc</v>
      </c>
      <c r="X785">
        <f t="shared" si="38"/>
        <v>2002</v>
      </c>
    </row>
    <row r="786" spans="1:24">
      <c r="A786" t="s">
        <v>1285</v>
      </c>
      <c r="B786">
        <v>6.6</v>
      </c>
      <c r="C786" s="1">
        <v>37292.560416666667</v>
      </c>
      <c r="D786">
        <v>0</v>
      </c>
      <c r="E786">
        <v>6</v>
      </c>
      <c r="G786">
        <v>0</v>
      </c>
      <c r="H786">
        <v>670</v>
      </c>
      <c r="I786" t="s">
        <v>46</v>
      </c>
      <c r="J786">
        <v>444</v>
      </c>
      <c r="K786">
        <v>0</v>
      </c>
      <c r="L786">
        <v>0</v>
      </c>
      <c r="M786" t="s">
        <v>13</v>
      </c>
      <c r="N786">
        <v>39</v>
      </c>
      <c r="O786">
        <v>-5.3449999999999998</v>
      </c>
      <c r="P786">
        <v>151.24799999999999</v>
      </c>
      <c r="Q786" t="s">
        <v>103</v>
      </c>
      <c r="S786" t="s">
        <v>89</v>
      </c>
      <c r="U786" t="str">
        <f t="shared" si="36"/>
        <v>N km direction of city</v>
      </c>
      <c r="V786" t="str">
        <f t="shared" si="37"/>
        <v>mwc</v>
      </c>
      <c r="X786">
        <f t="shared" si="38"/>
        <v>2002</v>
      </c>
    </row>
    <row r="787" spans="1:24">
      <c r="A787" t="s">
        <v>1286</v>
      </c>
      <c r="B787">
        <v>6.5</v>
      </c>
      <c r="C787" s="1">
        <v>37290.299305555563</v>
      </c>
      <c r="D787">
        <v>0</v>
      </c>
      <c r="E787">
        <v>7</v>
      </c>
      <c r="G787">
        <v>0</v>
      </c>
      <c r="H787">
        <v>650</v>
      </c>
      <c r="I787" t="s">
        <v>46</v>
      </c>
      <c r="J787">
        <v>482</v>
      </c>
      <c r="K787">
        <v>0</v>
      </c>
      <c r="L787">
        <v>0</v>
      </c>
      <c r="M787" t="s">
        <v>13</v>
      </c>
      <c r="N787">
        <v>5</v>
      </c>
      <c r="O787">
        <v>38.573</v>
      </c>
      <c r="P787">
        <v>31.271000000000001</v>
      </c>
      <c r="Q787" t="s">
        <v>1287</v>
      </c>
      <c r="R787" t="s">
        <v>85</v>
      </c>
      <c r="S787" t="s">
        <v>315</v>
      </c>
      <c r="U787" t="str">
        <f t="shared" si="36"/>
        <v>N km direction of city</v>
      </c>
      <c r="V787" t="str">
        <f t="shared" si="37"/>
        <v>mwc</v>
      </c>
      <c r="X787">
        <f t="shared" si="38"/>
        <v>2002</v>
      </c>
    </row>
    <row r="788" spans="1:24">
      <c r="A788" t="s">
        <v>1288</v>
      </c>
      <c r="B788">
        <v>6.7</v>
      </c>
      <c r="C788" s="1">
        <v>37266.468055555553</v>
      </c>
      <c r="D788">
        <v>0</v>
      </c>
      <c r="E788">
        <v>8</v>
      </c>
      <c r="G788">
        <v>0</v>
      </c>
      <c r="H788">
        <v>691</v>
      </c>
      <c r="I788" t="s">
        <v>46</v>
      </c>
      <c r="J788">
        <v>333</v>
      </c>
      <c r="K788">
        <v>0</v>
      </c>
      <c r="L788">
        <v>0</v>
      </c>
      <c r="M788" t="s">
        <v>13</v>
      </c>
      <c r="N788">
        <v>11</v>
      </c>
      <c r="O788">
        <v>-3.2120000000000002</v>
      </c>
      <c r="P788">
        <v>142.42699999999999</v>
      </c>
      <c r="Q788" t="s">
        <v>776</v>
      </c>
      <c r="S788" t="s">
        <v>89</v>
      </c>
      <c r="U788" t="str">
        <f t="shared" si="36"/>
        <v>N km direction of city</v>
      </c>
      <c r="V788" t="str">
        <f t="shared" si="37"/>
        <v>mwc</v>
      </c>
      <c r="X788">
        <f t="shared" si="38"/>
        <v>2002</v>
      </c>
    </row>
    <row r="789" spans="1:24">
      <c r="A789" t="s">
        <v>1289</v>
      </c>
      <c r="B789">
        <v>6.6</v>
      </c>
      <c r="C789" s="1">
        <v>37259.428472222222</v>
      </c>
      <c r="D789">
        <v>0</v>
      </c>
      <c r="E789">
        <v>6</v>
      </c>
      <c r="G789">
        <v>0</v>
      </c>
      <c r="H789">
        <v>670</v>
      </c>
      <c r="I789" t="s">
        <v>46</v>
      </c>
      <c r="J789">
        <v>386</v>
      </c>
      <c r="K789">
        <v>0</v>
      </c>
      <c r="L789">
        <v>0</v>
      </c>
      <c r="M789" t="s">
        <v>13</v>
      </c>
      <c r="N789">
        <v>10</v>
      </c>
      <c r="O789">
        <v>-17.664000000000001</v>
      </c>
      <c r="P789">
        <v>168.00399999999999</v>
      </c>
      <c r="Q789" t="s">
        <v>661</v>
      </c>
      <c r="S789" t="s">
        <v>48</v>
      </c>
      <c r="U789" t="str">
        <f t="shared" si="36"/>
        <v>N km direction of city</v>
      </c>
      <c r="V789" t="str">
        <f t="shared" si="37"/>
        <v>mwc</v>
      </c>
      <c r="X789">
        <f t="shared" si="38"/>
        <v>2002</v>
      </c>
    </row>
    <row r="790" spans="1:24">
      <c r="A790" t="s">
        <v>1290</v>
      </c>
      <c r="B790">
        <v>7.2</v>
      </c>
      <c r="C790" s="1">
        <v>37258.723611111112</v>
      </c>
      <c r="D790">
        <v>0</v>
      </c>
      <c r="E790">
        <v>6</v>
      </c>
      <c r="G790">
        <v>0</v>
      </c>
      <c r="H790">
        <v>798</v>
      </c>
      <c r="I790" t="s">
        <v>46</v>
      </c>
      <c r="J790">
        <v>427</v>
      </c>
      <c r="K790">
        <v>0</v>
      </c>
      <c r="L790">
        <v>0</v>
      </c>
      <c r="M790" t="s">
        <v>13</v>
      </c>
      <c r="N790">
        <v>21</v>
      </c>
      <c r="O790">
        <v>-17.600000000000001</v>
      </c>
      <c r="P790">
        <v>167.85599999999999</v>
      </c>
      <c r="Q790" t="s">
        <v>661</v>
      </c>
      <c r="S790" t="s">
        <v>48</v>
      </c>
      <c r="U790" t="str">
        <f t="shared" si="36"/>
        <v>N km direction of city</v>
      </c>
      <c r="V790" t="str">
        <f t="shared" si="37"/>
        <v>mwc</v>
      </c>
      <c r="X790">
        <f t="shared" si="38"/>
        <v>2002</v>
      </c>
    </row>
    <row r="791" spans="1:24">
      <c r="A791" t="s">
        <v>1291</v>
      </c>
      <c r="B791">
        <v>6.8</v>
      </c>
      <c r="C791" s="1">
        <v>37248.952777777777</v>
      </c>
      <c r="D791">
        <v>0</v>
      </c>
      <c r="E791">
        <v>7</v>
      </c>
      <c r="G791">
        <v>0</v>
      </c>
      <c r="H791">
        <v>711</v>
      </c>
      <c r="I791" t="s">
        <v>46</v>
      </c>
      <c r="J791">
        <v>385</v>
      </c>
      <c r="K791">
        <v>0</v>
      </c>
      <c r="L791">
        <v>0</v>
      </c>
      <c r="M791" t="s">
        <v>13</v>
      </c>
      <c r="N791">
        <v>16</v>
      </c>
      <c r="O791">
        <v>-9.6129999999999995</v>
      </c>
      <c r="P791">
        <v>159.53</v>
      </c>
      <c r="Q791" t="s">
        <v>122</v>
      </c>
      <c r="S791" t="s">
        <v>124</v>
      </c>
      <c r="U791" t="str">
        <f t="shared" si="36"/>
        <v>N km direction of city</v>
      </c>
      <c r="V791" t="str">
        <f t="shared" si="37"/>
        <v>mwc</v>
      </c>
      <c r="X791">
        <f t="shared" si="38"/>
        <v>2001</v>
      </c>
    </row>
    <row r="792" spans="1:24">
      <c r="A792" t="s">
        <v>1292</v>
      </c>
      <c r="B792">
        <v>6.8</v>
      </c>
      <c r="C792" s="1">
        <v>37243.168055555558</v>
      </c>
      <c r="D792">
        <v>0</v>
      </c>
      <c r="E792">
        <v>5</v>
      </c>
      <c r="G792">
        <v>0</v>
      </c>
      <c r="H792">
        <v>711</v>
      </c>
      <c r="I792" t="s">
        <v>46</v>
      </c>
      <c r="J792">
        <v>499</v>
      </c>
      <c r="K792">
        <v>0</v>
      </c>
      <c r="L792">
        <v>0</v>
      </c>
      <c r="M792" t="s">
        <v>13</v>
      </c>
      <c r="N792">
        <v>14</v>
      </c>
      <c r="O792">
        <v>23.954000000000001</v>
      </c>
      <c r="P792">
        <v>122.73399999999999</v>
      </c>
      <c r="Q792" t="s">
        <v>1191</v>
      </c>
      <c r="U792" t="str">
        <f t="shared" si="36"/>
        <v>N km direction of city</v>
      </c>
      <c r="V792" t="str">
        <f t="shared" si="37"/>
        <v>mwc</v>
      </c>
      <c r="X792">
        <f t="shared" si="38"/>
        <v>2001</v>
      </c>
    </row>
    <row r="793" spans="1:24">
      <c r="A793" t="s">
        <v>1293</v>
      </c>
      <c r="B793">
        <v>6.5</v>
      </c>
      <c r="C793" s="1">
        <v>37227.542361111111</v>
      </c>
      <c r="D793">
        <v>0</v>
      </c>
      <c r="E793">
        <v>5</v>
      </c>
      <c r="G793">
        <v>0</v>
      </c>
      <c r="H793">
        <v>650</v>
      </c>
      <c r="I793" t="s">
        <v>46</v>
      </c>
      <c r="J793">
        <v>605</v>
      </c>
      <c r="K793">
        <v>0</v>
      </c>
      <c r="L793">
        <v>0</v>
      </c>
      <c r="M793" t="s">
        <v>13</v>
      </c>
      <c r="N793">
        <v>123.8</v>
      </c>
      <c r="O793">
        <v>39.402000000000001</v>
      </c>
      <c r="P793">
        <v>141.089</v>
      </c>
      <c r="Q793" t="s">
        <v>1294</v>
      </c>
      <c r="R793" t="s">
        <v>85</v>
      </c>
      <c r="S793" t="s">
        <v>243</v>
      </c>
      <c r="U793" t="str">
        <f t="shared" si="36"/>
        <v>N km direction of city</v>
      </c>
      <c r="V793" t="str">
        <f t="shared" si="37"/>
        <v>mwc</v>
      </c>
      <c r="X793">
        <f t="shared" si="38"/>
        <v>2001</v>
      </c>
    </row>
    <row r="794" spans="1:24">
      <c r="A794" t="s">
        <v>1295</v>
      </c>
      <c r="B794">
        <v>7.8</v>
      </c>
      <c r="C794" s="1">
        <v>37209.393055555563</v>
      </c>
      <c r="D794">
        <v>0</v>
      </c>
      <c r="E794">
        <v>9</v>
      </c>
      <c r="G794">
        <v>0</v>
      </c>
      <c r="H794">
        <v>936</v>
      </c>
      <c r="I794" t="s">
        <v>46</v>
      </c>
      <c r="J794">
        <v>368</v>
      </c>
      <c r="K794">
        <v>0</v>
      </c>
      <c r="L794">
        <v>0</v>
      </c>
      <c r="M794" t="s">
        <v>13</v>
      </c>
      <c r="N794">
        <v>10</v>
      </c>
      <c r="O794">
        <v>35.945999999999998</v>
      </c>
      <c r="P794">
        <v>90.540999999999997</v>
      </c>
      <c r="Q794" t="s">
        <v>238</v>
      </c>
      <c r="R794" t="s">
        <v>85</v>
      </c>
      <c r="S794" t="s">
        <v>153</v>
      </c>
      <c r="U794" t="str">
        <f t="shared" si="36"/>
        <v>Named-region</v>
      </c>
      <c r="V794" t="str">
        <f t="shared" si="37"/>
        <v>mwc</v>
      </c>
      <c r="X794">
        <f t="shared" si="38"/>
        <v>2001</v>
      </c>
    </row>
    <row r="795" spans="1:24">
      <c r="A795" t="s">
        <v>1296</v>
      </c>
      <c r="B795">
        <v>7</v>
      </c>
      <c r="C795" s="1">
        <v>37195.381944444453</v>
      </c>
      <c r="D795">
        <v>0</v>
      </c>
      <c r="E795">
        <v>7</v>
      </c>
      <c r="G795">
        <v>0</v>
      </c>
      <c r="H795">
        <v>754</v>
      </c>
      <c r="I795" t="s">
        <v>46</v>
      </c>
      <c r="J795">
        <v>254</v>
      </c>
      <c r="K795">
        <v>0</v>
      </c>
      <c r="L795">
        <v>0</v>
      </c>
      <c r="M795" t="s">
        <v>13</v>
      </c>
      <c r="N795">
        <v>33</v>
      </c>
      <c r="O795">
        <v>-5.9119999999999999</v>
      </c>
      <c r="P795">
        <v>150.196</v>
      </c>
      <c r="Q795" t="s">
        <v>103</v>
      </c>
      <c r="S795" t="s">
        <v>89</v>
      </c>
      <c r="U795" t="str">
        <f t="shared" si="36"/>
        <v>N km direction of city</v>
      </c>
      <c r="V795" t="str">
        <f t="shared" si="37"/>
        <v>mwc</v>
      </c>
      <c r="X795">
        <f t="shared" si="38"/>
        <v>2001</v>
      </c>
    </row>
    <row r="796" spans="1:24">
      <c r="A796" t="s">
        <v>1297</v>
      </c>
      <c r="B796">
        <v>7.5</v>
      </c>
      <c r="C796" s="1">
        <v>37183.144444444442</v>
      </c>
      <c r="D796">
        <v>0</v>
      </c>
      <c r="E796">
        <v>6</v>
      </c>
      <c r="G796">
        <v>0</v>
      </c>
      <c r="H796">
        <v>865</v>
      </c>
      <c r="I796" t="s">
        <v>46</v>
      </c>
      <c r="J796">
        <v>234</v>
      </c>
      <c r="K796">
        <v>0</v>
      </c>
      <c r="L796">
        <v>0</v>
      </c>
      <c r="M796" t="s">
        <v>13</v>
      </c>
      <c r="N796">
        <v>33</v>
      </c>
      <c r="O796">
        <v>-4.1020000000000003</v>
      </c>
      <c r="P796">
        <v>123.907</v>
      </c>
      <c r="Q796" t="s">
        <v>1298</v>
      </c>
      <c r="S796" t="s">
        <v>77</v>
      </c>
      <c r="U796" t="str">
        <f t="shared" si="36"/>
        <v>N km direction of city</v>
      </c>
      <c r="V796" t="str">
        <f t="shared" si="37"/>
        <v>mwc</v>
      </c>
      <c r="X796">
        <f t="shared" si="38"/>
        <v>2001</v>
      </c>
    </row>
    <row r="797" spans="1:24">
      <c r="A797" t="s">
        <v>1299</v>
      </c>
      <c r="B797">
        <v>7</v>
      </c>
      <c r="C797" s="1">
        <v>37176.626388888893</v>
      </c>
      <c r="D797">
        <v>0</v>
      </c>
      <c r="E797">
        <v>6</v>
      </c>
      <c r="G797">
        <v>0</v>
      </c>
      <c r="H797">
        <v>754</v>
      </c>
      <c r="I797" t="s">
        <v>46</v>
      </c>
      <c r="J797">
        <v>482</v>
      </c>
      <c r="K797">
        <v>0</v>
      </c>
      <c r="L797">
        <v>0</v>
      </c>
      <c r="M797" t="s">
        <v>13</v>
      </c>
      <c r="N797">
        <v>37</v>
      </c>
      <c r="O797">
        <v>12.686</v>
      </c>
      <c r="P797">
        <v>144.97999999999999</v>
      </c>
      <c r="Q797" t="s">
        <v>1300</v>
      </c>
      <c r="U797" t="str">
        <f t="shared" si="36"/>
        <v>N km direction of city</v>
      </c>
      <c r="V797" t="str">
        <f t="shared" si="37"/>
        <v>mwc</v>
      </c>
      <c r="X797">
        <f t="shared" si="38"/>
        <v>2001</v>
      </c>
    </row>
    <row r="798" spans="1:24">
      <c r="A798" t="s">
        <v>1301</v>
      </c>
      <c r="B798">
        <v>6.5</v>
      </c>
      <c r="C798" s="1">
        <v>37145.62222222222</v>
      </c>
      <c r="D798">
        <v>0</v>
      </c>
      <c r="E798">
        <v>6</v>
      </c>
      <c r="G798">
        <v>0</v>
      </c>
      <c r="H798">
        <v>650</v>
      </c>
      <c r="I798" t="s">
        <v>46</v>
      </c>
      <c r="J798">
        <v>174</v>
      </c>
      <c r="K798">
        <v>0</v>
      </c>
      <c r="L798">
        <v>0</v>
      </c>
      <c r="M798" t="s">
        <v>13</v>
      </c>
      <c r="N798">
        <v>33</v>
      </c>
      <c r="O798">
        <v>-0.57799999999999996</v>
      </c>
      <c r="P798">
        <v>133.13</v>
      </c>
      <c r="Q798" t="s">
        <v>827</v>
      </c>
      <c r="S798" t="s">
        <v>77</v>
      </c>
      <c r="U798" t="str">
        <f t="shared" si="36"/>
        <v>N km direction of city</v>
      </c>
      <c r="V798" t="str">
        <f t="shared" si="37"/>
        <v>mwc</v>
      </c>
      <c r="X798">
        <f t="shared" si="38"/>
        <v>2001</v>
      </c>
    </row>
    <row r="799" spans="1:24">
      <c r="A799" t="s">
        <v>1302</v>
      </c>
      <c r="B799">
        <v>6.6</v>
      </c>
      <c r="C799" s="1">
        <v>37100.313888888893</v>
      </c>
      <c r="D799">
        <v>6</v>
      </c>
      <c r="E799">
        <v>6</v>
      </c>
      <c r="G799">
        <v>0</v>
      </c>
      <c r="H799">
        <v>754</v>
      </c>
      <c r="I799" t="s">
        <v>202</v>
      </c>
      <c r="J799">
        <v>0</v>
      </c>
      <c r="K799">
        <v>0</v>
      </c>
      <c r="L799">
        <v>0</v>
      </c>
      <c r="M799" t="s">
        <v>11</v>
      </c>
      <c r="N799">
        <v>131.80000000000001</v>
      </c>
      <c r="O799">
        <v>58.774999999999999</v>
      </c>
      <c r="P799">
        <v>-154.70099999999999</v>
      </c>
      <c r="Q799" t="s">
        <v>1303</v>
      </c>
      <c r="R799" t="s">
        <v>139</v>
      </c>
      <c r="S799" t="s">
        <v>204</v>
      </c>
      <c r="U799" t="str">
        <f t="shared" si="36"/>
        <v>N km direction of city</v>
      </c>
      <c r="V799" t="str">
        <f t="shared" si="37"/>
        <v>mw</v>
      </c>
      <c r="X799">
        <f t="shared" si="38"/>
        <v>2001</v>
      </c>
    </row>
    <row r="800" spans="1:24">
      <c r="A800" t="s">
        <v>1304</v>
      </c>
      <c r="B800">
        <v>6.5</v>
      </c>
      <c r="C800" s="1">
        <v>37098.01458333333</v>
      </c>
      <c r="D800">
        <v>0</v>
      </c>
      <c r="E800">
        <v>8</v>
      </c>
      <c r="G800">
        <v>0</v>
      </c>
      <c r="H800">
        <v>650</v>
      </c>
      <c r="I800" t="s">
        <v>46</v>
      </c>
      <c r="J800">
        <v>483</v>
      </c>
      <c r="K800">
        <v>0</v>
      </c>
      <c r="L800">
        <v>0</v>
      </c>
      <c r="M800" t="s">
        <v>13</v>
      </c>
      <c r="N800">
        <v>10</v>
      </c>
      <c r="O800">
        <v>39.058999999999997</v>
      </c>
      <c r="P800">
        <v>24.244</v>
      </c>
      <c r="Q800" t="s">
        <v>1305</v>
      </c>
      <c r="R800" t="s">
        <v>267</v>
      </c>
      <c r="S800" t="s">
        <v>268</v>
      </c>
      <c r="U800" t="str">
        <f t="shared" si="36"/>
        <v>N km direction of city</v>
      </c>
      <c r="V800" t="str">
        <f t="shared" si="37"/>
        <v>mwc</v>
      </c>
      <c r="X800">
        <f t="shared" si="38"/>
        <v>2001</v>
      </c>
    </row>
    <row r="801" spans="1:24">
      <c r="A801" t="s">
        <v>1306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46</v>
      </c>
      <c r="J801">
        <v>398</v>
      </c>
      <c r="K801">
        <v>0</v>
      </c>
      <c r="L801">
        <v>0</v>
      </c>
      <c r="M801" t="s">
        <v>13</v>
      </c>
      <c r="N801">
        <v>33</v>
      </c>
      <c r="O801">
        <v>-17.542999999999999</v>
      </c>
      <c r="P801">
        <v>-72.076999999999998</v>
      </c>
      <c r="Q801" t="s">
        <v>1307</v>
      </c>
      <c r="S801" t="s">
        <v>164</v>
      </c>
      <c r="U801" t="str">
        <f t="shared" si="36"/>
        <v>N km direction of city</v>
      </c>
      <c r="V801" t="str">
        <f t="shared" si="37"/>
        <v>mwc</v>
      </c>
      <c r="X801">
        <f t="shared" si="38"/>
        <v>2001</v>
      </c>
    </row>
    <row r="802" spans="1:24">
      <c r="A802" t="s">
        <v>1308</v>
      </c>
      <c r="B802">
        <v>6.6</v>
      </c>
      <c r="C802" s="1">
        <v>37077.578472222223</v>
      </c>
      <c r="D802">
        <v>0</v>
      </c>
      <c r="E802">
        <v>7</v>
      </c>
      <c r="G802">
        <v>0</v>
      </c>
      <c r="H802">
        <v>670</v>
      </c>
      <c r="I802" t="s">
        <v>46</v>
      </c>
      <c r="J802">
        <v>324</v>
      </c>
      <c r="K802">
        <v>0</v>
      </c>
      <c r="L802">
        <v>0</v>
      </c>
      <c r="M802" t="s">
        <v>13</v>
      </c>
      <c r="N802">
        <v>62</v>
      </c>
      <c r="O802">
        <v>-16.085999999999999</v>
      </c>
      <c r="P802">
        <v>-73.986999999999995</v>
      </c>
      <c r="Q802" t="s">
        <v>1309</v>
      </c>
      <c r="S802" t="s">
        <v>164</v>
      </c>
      <c r="U802" t="str">
        <f t="shared" si="36"/>
        <v>N km direction of city</v>
      </c>
      <c r="V802" t="str">
        <f t="shared" si="37"/>
        <v>mwc</v>
      </c>
      <c r="X802">
        <f t="shared" si="38"/>
        <v>2001</v>
      </c>
    </row>
    <row r="803" spans="1:24">
      <c r="A803" t="s">
        <v>1310</v>
      </c>
      <c r="B803">
        <v>6.7</v>
      </c>
      <c r="C803" s="1">
        <v>37068.179166666669</v>
      </c>
      <c r="D803">
        <v>0</v>
      </c>
      <c r="E803">
        <v>6</v>
      </c>
      <c r="G803">
        <v>0</v>
      </c>
      <c r="H803">
        <v>691</v>
      </c>
      <c r="I803" t="s">
        <v>46</v>
      </c>
      <c r="J803">
        <v>422</v>
      </c>
      <c r="K803">
        <v>0</v>
      </c>
      <c r="L803">
        <v>0</v>
      </c>
      <c r="M803" t="s">
        <v>13</v>
      </c>
      <c r="N803">
        <v>24</v>
      </c>
      <c r="O803">
        <v>-17.745000000000001</v>
      </c>
      <c r="P803">
        <v>-71.649000000000001</v>
      </c>
      <c r="Q803" t="s">
        <v>1311</v>
      </c>
      <c r="S803" t="s">
        <v>164</v>
      </c>
      <c r="U803" t="str">
        <f t="shared" si="36"/>
        <v>N km direction of city</v>
      </c>
      <c r="V803" t="str">
        <f t="shared" si="37"/>
        <v>mwc</v>
      </c>
      <c r="X803">
        <f t="shared" si="38"/>
        <v>2001</v>
      </c>
    </row>
    <row r="804" spans="1:24">
      <c r="A804" t="s">
        <v>1312</v>
      </c>
      <c r="B804">
        <v>8.4</v>
      </c>
      <c r="C804" s="1">
        <v>37065.856249999997</v>
      </c>
      <c r="D804">
        <v>0</v>
      </c>
      <c r="E804">
        <v>8</v>
      </c>
      <c r="G804">
        <v>0</v>
      </c>
      <c r="H804">
        <v>1086</v>
      </c>
      <c r="I804" t="s">
        <v>839</v>
      </c>
      <c r="J804">
        <v>518</v>
      </c>
      <c r="K804">
        <v>0</v>
      </c>
      <c r="L804">
        <v>0</v>
      </c>
      <c r="M804" t="s">
        <v>14</v>
      </c>
      <c r="N804">
        <v>33</v>
      </c>
      <c r="O804">
        <v>-16.265000000000001</v>
      </c>
      <c r="P804">
        <v>-73.641000000000005</v>
      </c>
      <c r="Q804" t="s">
        <v>1313</v>
      </c>
      <c r="S804" t="s">
        <v>164</v>
      </c>
      <c r="U804" t="str">
        <f t="shared" si="36"/>
        <v>N km direction of city</v>
      </c>
      <c r="V804" t="str">
        <f t="shared" si="37"/>
        <v>mww</v>
      </c>
      <c r="X804">
        <f t="shared" si="38"/>
        <v>2001</v>
      </c>
    </row>
    <row r="805" spans="1:24">
      <c r="A805" t="s">
        <v>1314</v>
      </c>
      <c r="B805">
        <v>6.7</v>
      </c>
      <c r="C805" s="1">
        <v>37000.904861111107</v>
      </c>
      <c r="D805">
        <v>0</v>
      </c>
      <c r="E805">
        <v>6</v>
      </c>
      <c r="G805">
        <v>0</v>
      </c>
      <c r="H805">
        <v>691</v>
      </c>
      <c r="I805" t="s">
        <v>46</v>
      </c>
      <c r="J805">
        <v>282</v>
      </c>
      <c r="K805">
        <v>0</v>
      </c>
      <c r="L805">
        <v>0</v>
      </c>
      <c r="M805" t="s">
        <v>13</v>
      </c>
      <c r="N805">
        <v>17</v>
      </c>
      <c r="O805">
        <v>-7.41</v>
      </c>
      <c r="P805">
        <v>155.86500000000001</v>
      </c>
      <c r="Q805" t="s">
        <v>506</v>
      </c>
      <c r="S805" t="s">
        <v>124</v>
      </c>
      <c r="U805" t="str">
        <f t="shared" si="36"/>
        <v>N km direction of city</v>
      </c>
      <c r="V805" t="str">
        <f t="shared" si="37"/>
        <v>mwc</v>
      </c>
      <c r="X805">
        <f t="shared" si="38"/>
        <v>2001</v>
      </c>
    </row>
    <row r="806" spans="1:24">
      <c r="A806" t="s">
        <v>1315</v>
      </c>
      <c r="B806">
        <v>6.8</v>
      </c>
      <c r="C806" s="1">
        <v>36974.268750000003</v>
      </c>
      <c r="D806">
        <v>0</v>
      </c>
      <c r="E806">
        <v>7</v>
      </c>
      <c r="G806">
        <v>0</v>
      </c>
      <c r="H806">
        <v>711</v>
      </c>
      <c r="I806" t="s">
        <v>46</v>
      </c>
      <c r="J806">
        <v>596</v>
      </c>
      <c r="K806">
        <v>0</v>
      </c>
      <c r="L806">
        <v>0</v>
      </c>
      <c r="M806" t="s">
        <v>13</v>
      </c>
      <c r="N806">
        <v>50</v>
      </c>
      <c r="O806">
        <v>34.082999999999998</v>
      </c>
      <c r="P806">
        <v>132.52600000000001</v>
      </c>
      <c r="Q806" t="s">
        <v>1316</v>
      </c>
      <c r="R806" t="s">
        <v>85</v>
      </c>
      <c r="S806" t="s">
        <v>243</v>
      </c>
      <c r="U806" t="str">
        <f t="shared" si="36"/>
        <v>N km direction of city</v>
      </c>
      <c r="V806" t="str">
        <f t="shared" si="37"/>
        <v>mwc</v>
      </c>
      <c r="X806">
        <f t="shared" si="38"/>
        <v>2001</v>
      </c>
    </row>
    <row r="807" spans="1:24">
      <c r="A807" t="s">
        <v>1317</v>
      </c>
      <c r="B807">
        <v>6.5</v>
      </c>
      <c r="C807" s="1">
        <v>36969.244444444441</v>
      </c>
      <c r="D807">
        <v>0</v>
      </c>
      <c r="E807">
        <v>6</v>
      </c>
      <c r="G807">
        <v>0</v>
      </c>
      <c r="H807">
        <v>650</v>
      </c>
      <c r="I807" t="s">
        <v>46</v>
      </c>
      <c r="J807">
        <v>206</v>
      </c>
      <c r="K807">
        <v>0</v>
      </c>
      <c r="L807">
        <v>0</v>
      </c>
      <c r="M807" t="s">
        <v>13</v>
      </c>
      <c r="N807">
        <v>33</v>
      </c>
      <c r="O807">
        <v>-4.0289999999999999</v>
      </c>
      <c r="P807">
        <v>128.02000000000001</v>
      </c>
      <c r="Q807" t="s">
        <v>1123</v>
      </c>
      <c r="S807" t="s">
        <v>77</v>
      </c>
      <c r="U807" t="str">
        <f t="shared" si="36"/>
        <v>N km direction of city</v>
      </c>
      <c r="V807" t="str">
        <f t="shared" si="37"/>
        <v>mwc</v>
      </c>
      <c r="X807">
        <f t="shared" si="38"/>
        <v>2001</v>
      </c>
    </row>
    <row r="808" spans="1:24">
      <c r="A808" t="s">
        <v>1318</v>
      </c>
      <c r="B808">
        <v>6.8</v>
      </c>
      <c r="C808" s="1">
        <v>36950.787499999999</v>
      </c>
      <c r="D808">
        <v>7</v>
      </c>
      <c r="E808">
        <v>7</v>
      </c>
      <c r="G808">
        <v>0</v>
      </c>
      <c r="H808">
        <v>1441</v>
      </c>
      <c r="I808" t="s">
        <v>1319</v>
      </c>
      <c r="J808">
        <v>67</v>
      </c>
      <c r="K808">
        <v>0</v>
      </c>
      <c r="L808">
        <v>31</v>
      </c>
      <c r="M808" t="s">
        <v>7</v>
      </c>
      <c r="N808">
        <v>51.798000000000002</v>
      </c>
      <c r="O808">
        <v>47.149000000000001</v>
      </c>
      <c r="P808">
        <v>-122.727</v>
      </c>
      <c r="Q808" t="s">
        <v>1320</v>
      </c>
      <c r="R808" t="s">
        <v>139</v>
      </c>
      <c r="S808" t="s">
        <v>204</v>
      </c>
      <c r="U808" t="str">
        <f t="shared" si="36"/>
        <v>N km direction of city</v>
      </c>
      <c r="V808" t="str">
        <f t="shared" si="37"/>
        <v>md</v>
      </c>
      <c r="X808">
        <f t="shared" si="38"/>
        <v>2001</v>
      </c>
    </row>
    <row r="809" spans="1:24">
      <c r="A809" t="s">
        <v>1321</v>
      </c>
      <c r="B809">
        <v>7.1</v>
      </c>
      <c r="C809" s="1">
        <v>36946.307638888888</v>
      </c>
      <c r="D809">
        <v>0</v>
      </c>
      <c r="E809">
        <v>7</v>
      </c>
      <c r="G809">
        <v>0</v>
      </c>
      <c r="H809">
        <v>776</v>
      </c>
      <c r="I809" t="s">
        <v>46</v>
      </c>
      <c r="J809">
        <v>426</v>
      </c>
      <c r="K809">
        <v>0</v>
      </c>
      <c r="L809">
        <v>0</v>
      </c>
      <c r="M809" t="s">
        <v>13</v>
      </c>
      <c r="N809">
        <v>35</v>
      </c>
      <c r="O809">
        <v>1.2709999999999999</v>
      </c>
      <c r="P809">
        <v>126.249</v>
      </c>
      <c r="Q809" t="s">
        <v>669</v>
      </c>
      <c r="S809" t="s">
        <v>77</v>
      </c>
      <c r="U809" t="str">
        <f t="shared" si="36"/>
        <v>N km direction of city</v>
      </c>
      <c r="V809" t="str">
        <f t="shared" si="37"/>
        <v>mwc</v>
      </c>
      <c r="X809">
        <f t="shared" si="38"/>
        <v>2001</v>
      </c>
    </row>
    <row r="810" spans="1:24">
      <c r="A810" t="s">
        <v>1322</v>
      </c>
      <c r="B810">
        <v>7.4</v>
      </c>
      <c r="C810" s="1">
        <v>36935.811111111107</v>
      </c>
      <c r="D810">
        <v>0</v>
      </c>
      <c r="E810">
        <v>6</v>
      </c>
      <c r="G810">
        <v>0</v>
      </c>
      <c r="H810">
        <v>842</v>
      </c>
      <c r="I810" t="s">
        <v>46</v>
      </c>
      <c r="J810">
        <v>221</v>
      </c>
      <c r="K810">
        <v>0</v>
      </c>
      <c r="L810">
        <v>0</v>
      </c>
      <c r="M810" t="s">
        <v>13</v>
      </c>
      <c r="N810">
        <v>36</v>
      </c>
      <c r="O810">
        <v>-4.68</v>
      </c>
      <c r="P810">
        <v>102.562</v>
      </c>
      <c r="Q810" t="s">
        <v>126</v>
      </c>
      <c r="S810" t="s">
        <v>77</v>
      </c>
      <c r="U810" t="str">
        <f t="shared" si="36"/>
        <v>N km direction of city</v>
      </c>
      <c r="V810" t="str">
        <f t="shared" si="37"/>
        <v>mwc</v>
      </c>
      <c r="X810">
        <f t="shared" si="38"/>
        <v>2001</v>
      </c>
    </row>
    <row r="811" spans="1:24">
      <c r="A811" t="s">
        <v>1323</v>
      </c>
      <c r="B811">
        <v>6.6</v>
      </c>
      <c r="C811" s="1">
        <v>36935.598611111112</v>
      </c>
      <c r="D811">
        <v>0</v>
      </c>
      <c r="E811">
        <v>8</v>
      </c>
      <c r="G811">
        <v>0</v>
      </c>
      <c r="H811">
        <v>670</v>
      </c>
      <c r="I811" t="s">
        <v>46</v>
      </c>
      <c r="J811">
        <v>273</v>
      </c>
      <c r="K811">
        <v>0</v>
      </c>
      <c r="L811">
        <v>0</v>
      </c>
      <c r="M811" t="s">
        <v>13</v>
      </c>
      <c r="N811">
        <v>10</v>
      </c>
      <c r="O811">
        <v>13.670999999999999</v>
      </c>
      <c r="P811">
        <v>-88.938000000000002</v>
      </c>
      <c r="Q811" t="s">
        <v>1324</v>
      </c>
      <c r="S811" t="s">
        <v>1325</v>
      </c>
      <c r="U811" t="str">
        <f t="shared" si="36"/>
        <v>N km direction of city</v>
      </c>
      <c r="V811" t="str">
        <f t="shared" si="37"/>
        <v>mwc</v>
      </c>
      <c r="X811">
        <f t="shared" si="38"/>
        <v>2001</v>
      </c>
    </row>
    <row r="812" spans="1:24">
      <c r="A812" t="s">
        <v>1326</v>
      </c>
      <c r="B812">
        <v>7.7</v>
      </c>
      <c r="C812" s="1">
        <v>36917.136111111111</v>
      </c>
      <c r="D812">
        <v>0</v>
      </c>
      <c r="E812">
        <v>9</v>
      </c>
      <c r="G812">
        <v>0</v>
      </c>
      <c r="H812">
        <v>912</v>
      </c>
      <c r="I812" t="s">
        <v>46</v>
      </c>
      <c r="J812">
        <v>472</v>
      </c>
      <c r="K812">
        <v>0</v>
      </c>
      <c r="L812">
        <v>0</v>
      </c>
      <c r="M812" t="s">
        <v>13</v>
      </c>
      <c r="N812">
        <v>16</v>
      </c>
      <c r="O812">
        <v>23.419</v>
      </c>
      <c r="P812">
        <v>70.231999999999999</v>
      </c>
      <c r="Q812" t="s">
        <v>1327</v>
      </c>
      <c r="R812" t="s">
        <v>85</v>
      </c>
      <c r="S812" t="s">
        <v>584</v>
      </c>
      <c r="U812" t="str">
        <f t="shared" si="36"/>
        <v>N km direction of city</v>
      </c>
      <c r="V812" t="str">
        <f t="shared" si="37"/>
        <v>mwc</v>
      </c>
      <c r="X812">
        <f t="shared" si="38"/>
        <v>2001</v>
      </c>
    </row>
    <row r="813" spans="1:24">
      <c r="A813" t="s">
        <v>1328</v>
      </c>
      <c r="B813">
        <v>6.9</v>
      </c>
      <c r="C813" s="1">
        <v>36907.559027777781</v>
      </c>
      <c r="D813">
        <v>0</v>
      </c>
      <c r="E813">
        <v>6</v>
      </c>
      <c r="G813">
        <v>0</v>
      </c>
      <c r="H813">
        <v>732</v>
      </c>
      <c r="I813" t="s">
        <v>46</v>
      </c>
      <c r="J813">
        <v>117</v>
      </c>
      <c r="K813">
        <v>0</v>
      </c>
      <c r="L813">
        <v>0</v>
      </c>
      <c r="M813" t="s">
        <v>12</v>
      </c>
      <c r="N813">
        <v>28</v>
      </c>
      <c r="O813">
        <v>-4.0220000000000002</v>
      </c>
      <c r="P813">
        <v>101.776</v>
      </c>
      <c r="Q813" t="s">
        <v>126</v>
      </c>
      <c r="S813" t="s">
        <v>77</v>
      </c>
      <c r="U813" t="str">
        <f t="shared" si="36"/>
        <v>N km direction of city</v>
      </c>
      <c r="V813" t="str">
        <f t="shared" si="37"/>
        <v>mwb</v>
      </c>
      <c r="X813">
        <f t="shared" si="38"/>
        <v>2001</v>
      </c>
    </row>
    <row r="814" spans="1:24">
      <c r="A814" t="s">
        <v>1329</v>
      </c>
      <c r="B814">
        <v>7.7</v>
      </c>
      <c r="C814" s="1">
        <v>36904.731249999997</v>
      </c>
      <c r="D814">
        <v>0</v>
      </c>
      <c r="E814">
        <v>8</v>
      </c>
      <c r="G814">
        <v>0</v>
      </c>
      <c r="H814">
        <v>912</v>
      </c>
      <c r="I814" t="s">
        <v>46</v>
      </c>
      <c r="J814">
        <v>427</v>
      </c>
      <c r="K814">
        <v>0</v>
      </c>
      <c r="L814">
        <v>0</v>
      </c>
      <c r="M814" t="s">
        <v>13</v>
      </c>
      <c r="N814">
        <v>60</v>
      </c>
      <c r="O814">
        <v>13.048999999999999</v>
      </c>
      <c r="P814">
        <v>-88.66</v>
      </c>
      <c r="Q814" t="s">
        <v>525</v>
      </c>
      <c r="U814" t="str">
        <f t="shared" si="36"/>
        <v>N km direction of city</v>
      </c>
      <c r="V814" t="str">
        <f t="shared" si="37"/>
        <v>mwc</v>
      </c>
      <c r="X814">
        <f t="shared" si="38"/>
        <v>2001</v>
      </c>
    </row>
    <row r="815" spans="1:24">
      <c r="A815" t="s">
        <v>1330</v>
      </c>
      <c r="B815">
        <v>6.9</v>
      </c>
      <c r="C815" s="1">
        <v>36901.668055555558</v>
      </c>
      <c r="D815">
        <v>5</v>
      </c>
      <c r="E815">
        <v>7</v>
      </c>
      <c r="G815">
        <v>0</v>
      </c>
      <c r="H815">
        <v>745</v>
      </c>
      <c r="I815" t="s">
        <v>202</v>
      </c>
      <c r="J815">
        <v>0</v>
      </c>
      <c r="K815">
        <v>0</v>
      </c>
      <c r="L815">
        <v>0</v>
      </c>
      <c r="M815" t="s">
        <v>11</v>
      </c>
      <c r="N815">
        <v>36.4</v>
      </c>
      <c r="O815">
        <v>56.7744</v>
      </c>
      <c r="P815">
        <v>-153.28100000000001</v>
      </c>
      <c r="Q815" t="s">
        <v>1331</v>
      </c>
      <c r="R815" t="s">
        <v>139</v>
      </c>
      <c r="U815" t="str">
        <f t="shared" si="36"/>
        <v>N km direction of city</v>
      </c>
      <c r="V815" t="str">
        <f t="shared" si="37"/>
        <v>mw</v>
      </c>
      <c r="X815">
        <f t="shared" si="38"/>
        <v>2001</v>
      </c>
    </row>
    <row r="816" spans="1:24">
      <c r="A816" t="s">
        <v>1332</v>
      </c>
      <c r="B816">
        <v>7.1</v>
      </c>
      <c r="C816" s="1">
        <v>36900.700694444437</v>
      </c>
      <c r="D816">
        <v>0</v>
      </c>
      <c r="E816">
        <v>7</v>
      </c>
      <c r="G816">
        <v>0</v>
      </c>
      <c r="H816">
        <v>776</v>
      </c>
      <c r="I816" t="s">
        <v>46</v>
      </c>
      <c r="J816">
        <v>372</v>
      </c>
      <c r="K816">
        <v>0</v>
      </c>
      <c r="L816">
        <v>0</v>
      </c>
      <c r="M816" t="s">
        <v>12</v>
      </c>
      <c r="N816">
        <v>103</v>
      </c>
      <c r="O816">
        <v>-14.928000000000001</v>
      </c>
      <c r="P816">
        <v>167.17</v>
      </c>
      <c r="Q816" t="s">
        <v>101</v>
      </c>
      <c r="S816" t="s">
        <v>48</v>
      </c>
      <c r="U816" t="str">
        <f t="shared" si="36"/>
        <v>N km direction of city</v>
      </c>
      <c r="V816" t="str">
        <f t="shared" si="37"/>
        <v>mwb</v>
      </c>
      <c r="X816">
        <f t="shared" si="38"/>
        <v>2001</v>
      </c>
    </row>
    <row r="817" spans="1:24">
      <c r="A817" t="s">
        <v>1333</v>
      </c>
      <c r="B817">
        <v>6.8</v>
      </c>
      <c r="C817" s="1">
        <v>36892.370833333327</v>
      </c>
      <c r="D817">
        <v>0</v>
      </c>
      <c r="E817">
        <v>5</v>
      </c>
      <c r="G817">
        <v>0</v>
      </c>
      <c r="H817">
        <v>711</v>
      </c>
      <c r="I817" t="s">
        <v>46</v>
      </c>
      <c r="J817">
        <v>64</v>
      </c>
      <c r="K817">
        <v>0</v>
      </c>
      <c r="L817">
        <v>0</v>
      </c>
      <c r="M817" t="s">
        <v>13</v>
      </c>
      <c r="N817">
        <v>33</v>
      </c>
      <c r="O817">
        <v>6.6310000000000002</v>
      </c>
      <c r="P817">
        <v>126.899</v>
      </c>
      <c r="Q817" t="s">
        <v>1283</v>
      </c>
      <c r="U817" t="str">
        <f t="shared" si="36"/>
        <v>Named-region</v>
      </c>
      <c r="V817" t="str">
        <f t="shared" si="37"/>
        <v>mwc</v>
      </c>
      <c r="X817">
        <f t="shared" si="38"/>
        <v>2001</v>
      </c>
    </row>
    <row r="818" spans="1:24">
      <c r="A818" t="s">
        <v>1334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46</v>
      </c>
      <c r="J818">
        <v>324</v>
      </c>
      <c r="K818">
        <v>0</v>
      </c>
      <c r="L818">
        <v>0</v>
      </c>
      <c r="M818" t="s">
        <v>13</v>
      </c>
      <c r="N818">
        <v>33</v>
      </c>
      <c r="O818">
        <v>6.8979999999999997</v>
      </c>
      <c r="P818">
        <v>126.57899999999999</v>
      </c>
      <c r="Q818" t="s">
        <v>1335</v>
      </c>
      <c r="S818" t="s">
        <v>158</v>
      </c>
      <c r="U818" t="str">
        <f t="shared" si="36"/>
        <v>N km direction of city</v>
      </c>
      <c r="V818" t="str">
        <f t="shared" si="37"/>
        <v>mwc</v>
      </c>
      <c r="X818">
        <f t="shared" si="38"/>
        <v>2001</v>
      </c>
    </row>
    <row r="819" spans="1:24">
      <c r="A819" t="s">
        <v>1336</v>
      </c>
      <c r="B819">
        <v>6.5</v>
      </c>
      <c r="C819" s="1">
        <v>36866.956250000003</v>
      </c>
      <c r="D819">
        <v>0</v>
      </c>
      <c r="E819">
        <v>7</v>
      </c>
      <c r="G819">
        <v>0</v>
      </c>
      <c r="H819">
        <v>650</v>
      </c>
      <c r="I819" t="s">
        <v>46</v>
      </c>
      <c r="J819">
        <v>401</v>
      </c>
      <c r="K819">
        <v>0</v>
      </c>
      <c r="L819">
        <v>0</v>
      </c>
      <c r="M819" t="s">
        <v>13</v>
      </c>
      <c r="N819">
        <v>31</v>
      </c>
      <c r="O819">
        <v>-4.218</v>
      </c>
      <c r="P819">
        <v>152.72499999999999</v>
      </c>
      <c r="Q819" t="s">
        <v>434</v>
      </c>
      <c r="S819" t="s">
        <v>89</v>
      </c>
      <c r="U819" t="str">
        <f t="shared" si="36"/>
        <v>N km direction of city</v>
      </c>
      <c r="V819" t="str">
        <f t="shared" si="37"/>
        <v>mwc</v>
      </c>
      <c r="X819">
        <f t="shared" si="38"/>
        <v>2000</v>
      </c>
    </row>
    <row r="820" spans="1:24">
      <c r="A820" t="s">
        <v>1337</v>
      </c>
      <c r="B820">
        <v>7</v>
      </c>
      <c r="C820" s="1">
        <v>36866.71597222222</v>
      </c>
      <c r="D820">
        <v>0</v>
      </c>
      <c r="E820">
        <v>7</v>
      </c>
      <c r="G820">
        <v>0</v>
      </c>
      <c r="H820">
        <v>754</v>
      </c>
      <c r="I820" t="s">
        <v>46</v>
      </c>
      <c r="J820">
        <v>495</v>
      </c>
      <c r="K820">
        <v>0</v>
      </c>
      <c r="L820">
        <v>0</v>
      </c>
      <c r="M820" t="s">
        <v>13</v>
      </c>
      <c r="N820">
        <v>30</v>
      </c>
      <c r="O820">
        <v>39.566000000000003</v>
      </c>
      <c r="P820">
        <v>54.798999999999999</v>
      </c>
      <c r="Q820" t="s">
        <v>1338</v>
      </c>
      <c r="R820" t="s">
        <v>85</v>
      </c>
      <c r="S820" t="s">
        <v>1339</v>
      </c>
      <c r="U820" t="str">
        <f t="shared" si="36"/>
        <v>N km direction of city</v>
      </c>
      <c r="V820" t="str">
        <f t="shared" si="37"/>
        <v>mwc</v>
      </c>
      <c r="X820">
        <f t="shared" si="38"/>
        <v>2000</v>
      </c>
    </row>
    <row r="821" spans="1:24">
      <c r="A821" t="s">
        <v>1340</v>
      </c>
      <c r="B821">
        <v>6.5</v>
      </c>
      <c r="C821" s="1">
        <v>36855.756944444453</v>
      </c>
      <c r="D821">
        <v>0</v>
      </c>
      <c r="E821">
        <v>6</v>
      </c>
      <c r="G821">
        <v>0</v>
      </c>
      <c r="H821">
        <v>650</v>
      </c>
      <c r="I821" t="s">
        <v>46</v>
      </c>
      <c r="J821">
        <v>268</v>
      </c>
      <c r="K821">
        <v>0</v>
      </c>
      <c r="L821">
        <v>0</v>
      </c>
      <c r="M821" t="s">
        <v>13</v>
      </c>
      <c r="N821">
        <v>33</v>
      </c>
      <c r="O821">
        <v>40.167000000000002</v>
      </c>
      <c r="P821">
        <v>49.954000000000001</v>
      </c>
      <c r="Q821" t="s">
        <v>1341</v>
      </c>
      <c r="R821" t="s">
        <v>85</v>
      </c>
      <c r="S821" t="s">
        <v>1342</v>
      </c>
      <c r="U821" t="str">
        <f t="shared" si="36"/>
        <v>N km direction of city</v>
      </c>
      <c r="V821" t="str">
        <f t="shared" si="37"/>
        <v>mwc</v>
      </c>
      <c r="X821">
        <f t="shared" si="38"/>
        <v>2000</v>
      </c>
    </row>
    <row r="822" spans="1:24">
      <c r="A822" t="s">
        <v>1343</v>
      </c>
      <c r="B822">
        <v>6.8</v>
      </c>
      <c r="C822" s="1">
        <v>36855.756249999999</v>
      </c>
      <c r="D822">
        <v>0</v>
      </c>
      <c r="E822">
        <v>6</v>
      </c>
      <c r="G822">
        <v>0</v>
      </c>
      <c r="H822">
        <v>711</v>
      </c>
      <c r="I822" t="s">
        <v>46</v>
      </c>
      <c r="J822">
        <v>446</v>
      </c>
      <c r="K822">
        <v>0</v>
      </c>
      <c r="L822">
        <v>0</v>
      </c>
      <c r="M822" t="s">
        <v>13</v>
      </c>
      <c r="N822">
        <v>50.4</v>
      </c>
      <c r="O822">
        <v>40.244999999999997</v>
      </c>
      <c r="P822">
        <v>49.945999999999998</v>
      </c>
      <c r="Q822" t="s">
        <v>1344</v>
      </c>
      <c r="R822" t="s">
        <v>85</v>
      </c>
      <c r="S822" t="s">
        <v>1342</v>
      </c>
      <c r="U822" t="str">
        <f t="shared" si="36"/>
        <v>N km direction of city</v>
      </c>
      <c r="V822" t="str">
        <f t="shared" si="37"/>
        <v>mwc</v>
      </c>
      <c r="X822">
        <f t="shared" si="38"/>
        <v>2000</v>
      </c>
    </row>
    <row r="823" spans="1:24">
      <c r="A823" t="s">
        <v>1345</v>
      </c>
      <c r="B823">
        <v>6.8</v>
      </c>
      <c r="C823" s="1">
        <v>36848.287499999999</v>
      </c>
      <c r="D823">
        <v>0</v>
      </c>
      <c r="E823">
        <v>6</v>
      </c>
      <c r="G823">
        <v>0</v>
      </c>
      <c r="H823">
        <v>711</v>
      </c>
      <c r="I823" t="s">
        <v>46</v>
      </c>
      <c r="J823">
        <v>402</v>
      </c>
      <c r="K823">
        <v>0</v>
      </c>
      <c r="L823">
        <v>0</v>
      </c>
      <c r="M823" t="s">
        <v>12</v>
      </c>
      <c r="N823">
        <v>33</v>
      </c>
      <c r="O823">
        <v>-5.2279999999999998</v>
      </c>
      <c r="P823">
        <v>151.77099999999999</v>
      </c>
      <c r="Q823" t="s">
        <v>434</v>
      </c>
      <c r="S823" t="s">
        <v>89</v>
      </c>
      <c r="U823" t="str">
        <f t="shared" si="36"/>
        <v>N km direction of city</v>
      </c>
      <c r="V823" t="str">
        <f t="shared" si="37"/>
        <v>mwb</v>
      </c>
      <c r="X823">
        <f t="shared" si="38"/>
        <v>2000</v>
      </c>
    </row>
    <row r="824" spans="1:24">
      <c r="A824" t="s">
        <v>1346</v>
      </c>
      <c r="B824">
        <v>6.6</v>
      </c>
      <c r="C824" s="1">
        <v>36848.086805555547</v>
      </c>
      <c r="D824">
        <v>0</v>
      </c>
      <c r="E824">
        <v>6</v>
      </c>
      <c r="G824">
        <v>0</v>
      </c>
      <c r="H824">
        <v>670</v>
      </c>
      <c r="I824" t="s">
        <v>46</v>
      </c>
      <c r="J824">
        <v>267</v>
      </c>
      <c r="K824">
        <v>0</v>
      </c>
      <c r="L824">
        <v>0</v>
      </c>
      <c r="M824" t="s">
        <v>13</v>
      </c>
      <c r="N824">
        <v>33</v>
      </c>
      <c r="O824">
        <v>-5.0970000000000004</v>
      </c>
      <c r="P824">
        <v>153.18100000000001</v>
      </c>
      <c r="Q824" t="s">
        <v>434</v>
      </c>
      <c r="S824" t="s">
        <v>89</v>
      </c>
      <c r="U824" t="str">
        <f t="shared" si="36"/>
        <v>N km direction of city</v>
      </c>
      <c r="V824" t="str">
        <f t="shared" si="37"/>
        <v>mwc</v>
      </c>
      <c r="X824">
        <f t="shared" si="38"/>
        <v>2000</v>
      </c>
    </row>
    <row r="825" spans="1:24">
      <c r="A825" t="s">
        <v>1347</v>
      </c>
      <c r="B825">
        <v>7.8</v>
      </c>
      <c r="C825" s="1">
        <v>36847.875694444447</v>
      </c>
      <c r="D825">
        <v>0</v>
      </c>
      <c r="E825">
        <v>7</v>
      </c>
      <c r="G825">
        <v>0</v>
      </c>
      <c r="H825">
        <v>936</v>
      </c>
      <c r="I825" t="s">
        <v>46</v>
      </c>
      <c r="J825">
        <v>346</v>
      </c>
      <c r="K825">
        <v>0</v>
      </c>
      <c r="L825">
        <v>0</v>
      </c>
      <c r="M825" t="s">
        <v>13</v>
      </c>
      <c r="N825">
        <v>33</v>
      </c>
      <c r="O825">
        <v>-5.4960000000000004</v>
      </c>
      <c r="P825">
        <v>151.78100000000001</v>
      </c>
      <c r="Q825" t="s">
        <v>434</v>
      </c>
      <c r="S825" t="s">
        <v>89</v>
      </c>
      <c r="U825" t="str">
        <f t="shared" si="36"/>
        <v>N km direction of city</v>
      </c>
      <c r="V825" t="str">
        <f t="shared" si="37"/>
        <v>mwc</v>
      </c>
      <c r="X825">
        <f t="shared" si="38"/>
        <v>2000</v>
      </c>
    </row>
    <row r="826" spans="1:24">
      <c r="A826" t="s">
        <v>1348</v>
      </c>
      <c r="B826">
        <v>6.5</v>
      </c>
      <c r="C826" s="1">
        <v>36846.322916666657</v>
      </c>
      <c r="D826">
        <v>0</v>
      </c>
      <c r="E826">
        <v>6</v>
      </c>
      <c r="G826">
        <v>0</v>
      </c>
      <c r="H826">
        <v>650</v>
      </c>
      <c r="I826" t="s">
        <v>46</v>
      </c>
      <c r="J826">
        <v>71</v>
      </c>
      <c r="K826">
        <v>0</v>
      </c>
      <c r="L826">
        <v>0</v>
      </c>
      <c r="M826" t="s">
        <v>6</v>
      </c>
      <c r="N826">
        <v>33</v>
      </c>
      <c r="O826">
        <v>-4.827</v>
      </c>
      <c r="P826">
        <v>153.226</v>
      </c>
      <c r="Q826" t="s">
        <v>434</v>
      </c>
      <c r="S826" t="s">
        <v>89</v>
      </c>
      <c r="U826" t="str">
        <f t="shared" si="36"/>
        <v>N km direction of city</v>
      </c>
      <c r="V826" t="str">
        <f t="shared" si="37"/>
        <v>mb</v>
      </c>
      <c r="X826">
        <f t="shared" si="38"/>
        <v>2000</v>
      </c>
    </row>
    <row r="827" spans="1:24">
      <c r="A827" t="s">
        <v>1349</v>
      </c>
      <c r="B827">
        <v>7.8</v>
      </c>
      <c r="C827" s="1">
        <v>36846.320833333331</v>
      </c>
      <c r="D827">
        <v>0</v>
      </c>
      <c r="E827">
        <v>7</v>
      </c>
      <c r="G827">
        <v>0</v>
      </c>
      <c r="H827">
        <v>936</v>
      </c>
      <c r="I827" t="s">
        <v>46</v>
      </c>
      <c r="J827">
        <v>294</v>
      </c>
      <c r="K827">
        <v>0</v>
      </c>
      <c r="L827">
        <v>0</v>
      </c>
      <c r="M827" t="s">
        <v>13</v>
      </c>
      <c r="N827">
        <v>30</v>
      </c>
      <c r="O827">
        <v>-5.2329999999999997</v>
      </c>
      <c r="P827">
        <v>153.102</v>
      </c>
      <c r="Q827" t="s">
        <v>434</v>
      </c>
      <c r="U827" t="str">
        <f t="shared" si="36"/>
        <v>N km direction of city</v>
      </c>
      <c r="V827" t="str">
        <f t="shared" si="37"/>
        <v>mwc</v>
      </c>
      <c r="X827">
        <f t="shared" si="38"/>
        <v>2000</v>
      </c>
    </row>
    <row r="828" spans="1:24">
      <c r="A828" t="s">
        <v>1350</v>
      </c>
      <c r="B828">
        <v>8</v>
      </c>
      <c r="C828" s="1">
        <v>36846.20416666667</v>
      </c>
      <c r="D828">
        <v>0</v>
      </c>
      <c r="E828">
        <v>7</v>
      </c>
      <c r="G828">
        <v>0</v>
      </c>
      <c r="H828">
        <v>985</v>
      </c>
      <c r="I828" t="s">
        <v>46</v>
      </c>
      <c r="J828">
        <v>254</v>
      </c>
      <c r="K828">
        <v>0</v>
      </c>
      <c r="L828">
        <v>0</v>
      </c>
      <c r="M828" t="s">
        <v>13</v>
      </c>
      <c r="N828">
        <v>33</v>
      </c>
      <c r="O828">
        <v>-3.98</v>
      </c>
      <c r="P828">
        <v>152.16900000000001</v>
      </c>
      <c r="Q828" t="s">
        <v>544</v>
      </c>
      <c r="S828" t="s">
        <v>89</v>
      </c>
      <c r="U828" t="str">
        <f t="shared" si="36"/>
        <v>N km direction of city</v>
      </c>
      <c r="V828" t="str">
        <f t="shared" si="37"/>
        <v>mwc</v>
      </c>
      <c r="X828">
        <f t="shared" si="38"/>
        <v>2000</v>
      </c>
    </row>
    <row r="829" spans="1:24">
      <c r="A829" t="s">
        <v>1351</v>
      </c>
      <c r="B829">
        <v>6.5</v>
      </c>
      <c r="C829" s="1">
        <v>36838.290972222218</v>
      </c>
      <c r="D829">
        <v>0</v>
      </c>
      <c r="E829">
        <v>7</v>
      </c>
      <c r="G829">
        <v>0</v>
      </c>
      <c r="H829">
        <v>650</v>
      </c>
      <c r="I829" t="s">
        <v>46</v>
      </c>
      <c r="J829">
        <v>462</v>
      </c>
      <c r="K829">
        <v>0</v>
      </c>
      <c r="L829">
        <v>0</v>
      </c>
      <c r="M829" t="s">
        <v>13</v>
      </c>
      <c r="N829">
        <v>17</v>
      </c>
      <c r="O829">
        <v>7.0419999999999998</v>
      </c>
      <c r="P829">
        <v>-77.828999999999994</v>
      </c>
      <c r="Q829" t="s">
        <v>1352</v>
      </c>
      <c r="S829" t="s">
        <v>68</v>
      </c>
      <c r="U829" t="str">
        <f t="shared" si="36"/>
        <v>N km direction of city</v>
      </c>
      <c r="V829" t="str">
        <f t="shared" si="37"/>
        <v>mwc</v>
      </c>
      <c r="X829">
        <f t="shared" si="38"/>
        <v>2000</v>
      </c>
    </row>
    <row r="830" spans="1:24">
      <c r="A830" t="s">
        <v>1353</v>
      </c>
      <c r="B830">
        <v>7</v>
      </c>
      <c r="C830" s="1">
        <v>36828.359027777777</v>
      </c>
      <c r="D830">
        <v>0</v>
      </c>
      <c r="E830">
        <v>7</v>
      </c>
      <c r="G830">
        <v>0</v>
      </c>
      <c r="H830">
        <v>754</v>
      </c>
      <c r="I830" t="s">
        <v>46</v>
      </c>
      <c r="J830">
        <v>60</v>
      </c>
      <c r="K830">
        <v>0</v>
      </c>
      <c r="L830">
        <v>0</v>
      </c>
      <c r="M830" t="s">
        <v>13</v>
      </c>
      <c r="N830">
        <v>50</v>
      </c>
      <c r="O830">
        <v>-4.766</v>
      </c>
      <c r="P830">
        <v>153.94499999999999</v>
      </c>
      <c r="Q830" t="s">
        <v>434</v>
      </c>
      <c r="S830" t="s">
        <v>89</v>
      </c>
      <c r="U830" t="str">
        <f t="shared" si="36"/>
        <v>N km direction of city</v>
      </c>
      <c r="V830" t="str">
        <f t="shared" si="37"/>
        <v>mwc</v>
      </c>
      <c r="X830">
        <f t="shared" si="38"/>
        <v>2000</v>
      </c>
    </row>
    <row r="831" spans="1:24">
      <c r="A831" t="s">
        <v>1354</v>
      </c>
      <c r="B831">
        <v>6.8</v>
      </c>
      <c r="C831" s="1">
        <v>36824.397222222222</v>
      </c>
      <c r="D831">
        <v>0</v>
      </c>
      <c r="E831">
        <v>6</v>
      </c>
      <c r="G831">
        <v>0</v>
      </c>
      <c r="H831">
        <v>711</v>
      </c>
      <c r="I831" t="s">
        <v>46</v>
      </c>
      <c r="J831">
        <v>415</v>
      </c>
      <c r="K831">
        <v>0</v>
      </c>
      <c r="L831">
        <v>0</v>
      </c>
      <c r="M831" t="s">
        <v>13</v>
      </c>
      <c r="N831">
        <v>38</v>
      </c>
      <c r="O831">
        <v>-6.5490000000000004</v>
      </c>
      <c r="P831">
        <v>105.63</v>
      </c>
      <c r="Q831" t="s">
        <v>183</v>
      </c>
      <c r="S831" t="s">
        <v>77</v>
      </c>
      <c r="U831" t="str">
        <f t="shared" si="36"/>
        <v>N km direction of city</v>
      </c>
      <c r="V831" t="str">
        <f t="shared" si="37"/>
        <v>mwc</v>
      </c>
      <c r="X831">
        <f t="shared" si="38"/>
        <v>2000</v>
      </c>
    </row>
    <row r="832" spans="1:24">
      <c r="A832" t="s">
        <v>1355</v>
      </c>
      <c r="B832">
        <v>6.7</v>
      </c>
      <c r="C832" s="1">
        <v>36805.1875</v>
      </c>
      <c r="D832">
        <v>0</v>
      </c>
      <c r="E832">
        <v>8</v>
      </c>
      <c r="G832">
        <v>0</v>
      </c>
      <c r="H832">
        <v>691</v>
      </c>
      <c r="I832" t="s">
        <v>46</v>
      </c>
      <c r="J832">
        <v>390</v>
      </c>
      <c r="K832">
        <v>0</v>
      </c>
      <c r="L832">
        <v>0</v>
      </c>
      <c r="M832" t="s">
        <v>13</v>
      </c>
      <c r="N832">
        <v>10</v>
      </c>
      <c r="O832">
        <v>35.456000000000003</v>
      </c>
      <c r="P832">
        <v>133.13399999999999</v>
      </c>
      <c r="Q832" t="s">
        <v>1356</v>
      </c>
      <c r="R832" t="s">
        <v>85</v>
      </c>
      <c r="S832" t="s">
        <v>243</v>
      </c>
      <c r="U832" t="str">
        <f t="shared" si="36"/>
        <v>N km direction of city</v>
      </c>
      <c r="V832" t="str">
        <f t="shared" si="37"/>
        <v>mwc</v>
      </c>
      <c r="X832">
        <f t="shared" si="38"/>
        <v>2000</v>
      </c>
    </row>
    <row r="833" spans="1:24">
      <c r="A833" t="s">
        <v>1357</v>
      </c>
      <c r="B833">
        <v>7</v>
      </c>
      <c r="C833" s="1">
        <v>36803.706944444442</v>
      </c>
      <c r="D833">
        <v>0</v>
      </c>
      <c r="E833">
        <v>7</v>
      </c>
      <c r="G833">
        <v>0</v>
      </c>
      <c r="H833">
        <v>754</v>
      </c>
      <c r="I833" t="s">
        <v>46</v>
      </c>
      <c r="J833">
        <v>357</v>
      </c>
      <c r="K833">
        <v>0</v>
      </c>
      <c r="L833">
        <v>0</v>
      </c>
      <c r="M833" t="s">
        <v>13</v>
      </c>
      <c r="N833">
        <v>23</v>
      </c>
      <c r="O833">
        <v>-15.420999999999999</v>
      </c>
      <c r="P833">
        <v>166.91</v>
      </c>
      <c r="Q833" t="s">
        <v>1073</v>
      </c>
      <c r="S833" t="s">
        <v>48</v>
      </c>
      <c r="U833" t="str">
        <f t="shared" si="36"/>
        <v>N km direction of city</v>
      </c>
      <c r="V833" t="str">
        <f t="shared" si="37"/>
        <v>mwc</v>
      </c>
      <c r="X833">
        <f t="shared" si="38"/>
        <v>2000</v>
      </c>
    </row>
    <row r="834" spans="1:24">
      <c r="A834" t="s">
        <v>1358</v>
      </c>
      <c r="B834">
        <v>6.5</v>
      </c>
      <c r="C834" s="1">
        <v>36801.100694444453</v>
      </c>
      <c r="D834">
        <v>0</v>
      </c>
      <c r="E834">
        <v>6</v>
      </c>
      <c r="G834">
        <v>0</v>
      </c>
      <c r="H834">
        <v>650</v>
      </c>
      <c r="I834" t="s">
        <v>46</v>
      </c>
      <c r="J834">
        <v>415</v>
      </c>
      <c r="K834">
        <v>0</v>
      </c>
      <c r="L834">
        <v>0</v>
      </c>
      <c r="M834" t="s">
        <v>12</v>
      </c>
      <c r="N834">
        <v>34</v>
      </c>
      <c r="O834">
        <v>-7.9770000000000003</v>
      </c>
      <c r="P834">
        <v>30.709</v>
      </c>
      <c r="Q834" t="s">
        <v>1359</v>
      </c>
      <c r="R834" t="s">
        <v>497</v>
      </c>
      <c r="S834" t="s">
        <v>1133</v>
      </c>
      <c r="U834" t="str">
        <f t="shared" ref="U834:U897" si="39">IF(ISNUMBER(SEARCH("km",A834)),"N km direction of city","Named-region")</f>
        <v>N km direction of city</v>
      </c>
      <c r="V834" t="str">
        <f t="shared" ref="V834:V897" si="40">LOWER(M834)</f>
        <v>mwb</v>
      </c>
      <c r="X834">
        <f t="shared" ref="X834:X897" si="41">YEAR(C834)</f>
        <v>2000</v>
      </c>
    </row>
    <row r="835" spans="1:24">
      <c r="A835" t="s">
        <v>1360</v>
      </c>
      <c r="B835">
        <v>6.8</v>
      </c>
      <c r="C835" s="1">
        <v>36766.628472222219</v>
      </c>
      <c r="D835">
        <v>0</v>
      </c>
      <c r="E835">
        <v>6</v>
      </c>
      <c r="G835">
        <v>0</v>
      </c>
      <c r="H835">
        <v>711</v>
      </c>
      <c r="I835" t="s">
        <v>46</v>
      </c>
      <c r="J835">
        <v>336</v>
      </c>
      <c r="K835">
        <v>0</v>
      </c>
      <c r="L835">
        <v>0</v>
      </c>
      <c r="M835" t="s">
        <v>13</v>
      </c>
      <c r="N835">
        <v>16</v>
      </c>
      <c r="O835">
        <v>-4.1100000000000003</v>
      </c>
      <c r="P835">
        <v>127.39400000000001</v>
      </c>
      <c r="Q835" t="s">
        <v>1123</v>
      </c>
      <c r="S835" t="s">
        <v>77</v>
      </c>
      <c r="U835" t="str">
        <f t="shared" si="39"/>
        <v>N km direction of city</v>
      </c>
      <c r="V835" t="str">
        <f t="shared" si="40"/>
        <v>mwc</v>
      </c>
      <c r="X835">
        <f t="shared" si="41"/>
        <v>2000</v>
      </c>
    </row>
    <row r="836" spans="1:24">
      <c r="A836" t="s">
        <v>1361</v>
      </c>
      <c r="B836">
        <v>6.5</v>
      </c>
      <c r="C836" s="1">
        <v>36747.486805555563</v>
      </c>
      <c r="D836">
        <v>0</v>
      </c>
      <c r="E836">
        <v>6</v>
      </c>
      <c r="G836">
        <v>0</v>
      </c>
      <c r="H836">
        <v>650</v>
      </c>
      <c r="I836" t="s">
        <v>46</v>
      </c>
      <c r="J836">
        <v>481</v>
      </c>
      <c r="K836">
        <v>0</v>
      </c>
      <c r="L836">
        <v>0</v>
      </c>
      <c r="M836" t="s">
        <v>13</v>
      </c>
      <c r="N836">
        <v>45.8</v>
      </c>
      <c r="O836">
        <v>18.198</v>
      </c>
      <c r="P836">
        <v>-102.48</v>
      </c>
      <c r="Q836" t="s">
        <v>835</v>
      </c>
      <c r="R836" t="s">
        <v>139</v>
      </c>
      <c r="S836" t="s">
        <v>140</v>
      </c>
      <c r="U836" t="str">
        <f t="shared" si="39"/>
        <v>N km direction of city</v>
      </c>
      <c r="V836" t="str">
        <f t="shared" si="40"/>
        <v>mwc</v>
      </c>
      <c r="X836">
        <f t="shared" si="41"/>
        <v>2000</v>
      </c>
    </row>
    <row r="837" spans="1:24">
      <c r="A837" t="s">
        <v>1362</v>
      </c>
      <c r="B837">
        <v>6.8</v>
      </c>
      <c r="C837" s="1">
        <v>36742.884027777778</v>
      </c>
      <c r="D837">
        <v>0</v>
      </c>
      <c r="E837">
        <v>7</v>
      </c>
      <c r="G837">
        <v>0</v>
      </c>
      <c r="H837">
        <v>711</v>
      </c>
      <c r="I837" t="s">
        <v>46</v>
      </c>
      <c r="J837">
        <v>593</v>
      </c>
      <c r="K837">
        <v>0</v>
      </c>
      <c r="L837">
        <v>0</v>
      </c>
      <c r="M837" t="s">
        <v>13</v>
      </c>
      <c r="N837">
        <v>10</v>
      </c>
      <c r="O837">
        <v>48.786000000000001</v>
      </c>
      <c r="P837">
        <v>142.24600000000001</v>
      </c>
      <c r="Q837" t="s">
        <v>1363</v>
      </c>
      <c r="R837" t="s">
        <v>85</v>
      </c>
      <c r="S837" t="s">
        <v>310</v>
      </c>
      <c r="U837" t="str">
        <f t="shared" si="39"/>
        <v>N km direction of city</v>
      </c>
      <c r="V837" t="str">
        <f t="shared" si="40"/>
        <v>mwc</v>
      </c>
      <c r="X837">
        <f t="shared" si="41"/>
        <v>2000</v>
      </c>
    </row>
    <row r="838" spans="1:24">
      <c r="A838" t="s">
        <v>1364</v>
      </c>
      <c r="B838">
        <v>6.6</v>
      </c>
      <c r="C838" s="1">
        <v>36741.04791666667</v>
      </c>
      <c r="D838">
        <v>0</v>
      </c>
      <c r="E838">
        <v>6</v>
      </c>
      <c r="G838">
        <v>0</v>
      </c>
      <c r="H838">
        <v>670</v>
      </c>
      <c r="I838" t="s">
        <v>46</v>
      </c>
      <c r="J838">
        <v>218</v>
      </c>
      <c r="K838">
        <v>0</v>
      </c>
      <c r="L838">
        <v>0</v>
      </c>
      <c r="M838" t="s">
        <v>13</v>
      </c>
      <c r="N838">
        <v>33</v>
      </c>
      <c r="O838">
        <v>-12.037000000000001</v>
      </c>
      <c r="P838">
        <v>166.44800000000001</v>
      </c>
      <c r="Q838" t="s">
        <v>299</v>
      </c>
      <c r="U838" t="str">
        <f t="shared" si="39"/>
        <v>N km direction of city</v>
      </c>
      <c r="V838" t="str">
        <f t="shared" si="40"/>
        <v>mwc</v>
      </c>
      <c r="X838">
        <f t="shared" si="41"/>
        <v>2000</v>
      </c>
    </row>
    <row r="839" spans="1:24">
      <c r="A839" t="s">
        <v>1365</v>
      </c>
      <c r="B839">
        <v>6.5</v>
      </c>
      <c r="C839" s="1">
        <v>36737.517361111109</v>
      </c>
      <c r="D839">
        <v>0</v>
      </c>
      <c r="E839">
        <v>7</v>
      </c>
      <c r="G839">
        <v>0</v>
      </c>
      <c r="H839">
        <v>650</v>
      </c>
      <c r="I839" t="s">
        <v>46</v>
      </c>
      <c r="J839">
        <v>428</v>
      </c>
      <c r="K839">
        <v>0</v>
      </c>
      <c r="L839">
        <v>0</v>
      </c>
      <c r="M839" t="s">
        <v>13</v>
      </c>
      <c r="N839">
        <v>10</v>
      </c>
      <c r="O839">
        <v>33.901000000000003</v>
      </c>
      <c r="P839">
        <v>139.376</v>
      </c>
      <c r="Q839" t="s">
        <v>1366</v>
      </c>
      <c r="S839" t="s">
        <v>243</v>
      </c>
      <c r="U839" t="str">
        <f t="shared" si="39"/>
        <v>N km direction of city</v>
      </c>
      <c r="V839" t="str">
        <f t="shared" si="40"/>
        <v>mwc</v>
      </c>
      <c r="X839">
        <f t="shared" si="41"/>
        <v>2000</v>
      </c>
    </row>
    <row r="840" spans="1:24">
      <c r="A840" t="s">
        <v>1367</v>
      </c>
      <c r="B840">
        <v>6.6</v>
      </c>
      <c r="C840" s="1">
        <v>36723.164583333331</v>
      </c>
      <c r="D840">
        <v>0</v>
      </c>
      <c r="E840">
        <v>5</v>
      </c>
      <c r="G840">
        <v>0</v>
      </c>
      <c r="H840">
        <v>670</v>
      </c>
      <c r="I840" t="s">
        <v>46</v>
      </c>
      <c r="J840">
        <v>367</v>
      </c>
      <c r="K840">
        <v>0</v>
      </c>
      <c r="L840">
        <v>0</v>
      </c>
      <c r="M840" t="s">
        <v>13</v>
      </c>
      <c r="N840">
        <v>10</v>
      </c>
      <c r="O840">
        <v>-7.7469999999999999</v>
      </c>
      <c r="P840">
        <v>150.917</v>
      </c>
      <c r="Q840" t="s">
        <v>539</v>
      </c>
      <c r="U840" t="str">
        <f t="shared" si="39"/>
        <v>N km direction of city</v>
      </c>
      <c r="V840" t="str">
        <f t="shared" si="40"/>
        <v>mwc</v>
      </c>
      <c r="X840">
        <f t="shared" si="41"/>
        <v>2000</v>
      </c>
    </row>
    <row r="841" spans="1:24">
      <c r="A841" t="s">
        <v>1368</v>
      </c>
      <c r="B841">
        <v>6.5</v>
      </c>
      <c r="C841" s="1">
        <v>36718.063888888893</v>
      </c>
      <c r="D841">
        <v>0</v>
      </c>
      <c r="E841">
        <v>6</v>
      </c>
      <c r="G841">
        <v>0</v>
      </c>
      <c r="H841">
        <v>650</v>
      </c>
      <c r="I841" t="s">
        <v>202</v>
      </c>
      <c r="J841">
        <v>0</v>
      </c>
      <c r="K841">
        <v>0</v>
      </c>
      <c r="L841">
        <v>0</v>
      </c>
      <c r="M841" t="s">
        <v>11</v>
      </c>
      <c r="N841">
        <v>42.9</v>
      </c>
      <c r="O841">
        <v>57.354599999999998</v>
      </c>
      <c r="P841">
        <v>-154.19800000000001</v>
      </c>
      <c r="Q841" t="s">
        <v>1369</v>
      </c>
      <c r="R841" t="s">
        <v>139</v>
      </c>
      <c r="S841" t="s">
        <v>204</v>
      </c>
      <c r="U841" t="str">
        <f t="shared" si="39"/>
        <v>N km direction of city</v>
      </c>
      <c r="V841" t="str">
        <f t="shared" si="40"/>
        <v>mw</v>
      </c>
      <c r="X841">
        <f t="shared" si="41"/>
        <v>2000</v>
      </c>
    </row>
    <row r="842" spans="1:24">
      <c r="A842" t="s">
        <v>1370</v>
      </c>
      <c r="B842">
        <v>6.5</v>
      </c>
      <c r="C842" s="1">
        <v>36698.035416666673</v>
      </c>
      <c r="D842">
        <v>0</v>
      </c>
      <c r="E842">
        <v>9</v>
      </c>
      <c r="G842">
        <v>0</v>
      </c>
      <c r="H842">
        <v>650</v>
      </c>
      <c r="I842" t="s">
        <v>46</v>
      </c>
      <c r="J842">
        <v>351</v>
      </c>
      <c r="K842">
        <v>0</v>
      </c>
      <c r="L842">
        <v>0</v>
      </c>
      <c r="M842" t="s">
        <v>13</v>
      </c>
      <c r="N842">
        <v>10</v>
      </c>
      <c r="O842">
        <v>63.98</v>
      </c>
      <c r="P842">
        <v>-20.757999999999999</v>
      </c>
      <c r="Q842" t="s">
        <v>1371</v>
      </c>
      <c r="S842" t="s">
        <v>1372</v>
      </c>
      <c r="U842" t="str">
        <f t="shared" si="39"/>
        <v>N km direction of city</v>
      </c>
      <c r="V842" t="str">
        <f t="shared" si="40"/>
        <v>mwc</v>
      </c>
      <c r="X842">
        <f t="shared" si="41"/>
        <v>2000</v>
      </c>
    </row>
    <row r="843" spans="1:24">
      <c r="A843" t="s">
        <v>1373</v>
      </c>
      <c r="B843">
        <v>7.9</v>
      </c>
      <c r="C843" s="1">
        <v>36695.613888888889</v>
      </c>
      <c r="D843">
        <v>0</v>
      </c>
      <c r="E843">
        <v>5</v>
      </c>
      <c r="G843">
        <v>0</v>
      </c>
      <c r="H843">
        <v>960</v>
      </c>
      <c r="I843" t="s">
        <v>46</v>
      </c>
      <c r="J843">
        <v>405</v>
      </c>
      <c r="K843">
        <v>0</v>
      </c>
      <c r="L843">
        <v>0</v>
      </c>
      <c r="M843" t="s">
        <v>13</v>
      </c>
      <c r="N843">
        <v>10</v>
      </c>
      <c r="O843">
        <v>-13.802</v>
      </c>
      <c r="P843">
        <v>97.453000000000003</v>
      </c>
      <c r="Q843" t="s">
        <v>1374</v>
      </c>
      <c r="U843" t="str">
        <f t="shared" si="39"/>
        <v>Named-region</v>
      </c>
      <c r="V843" t="str">
        <f t="shared" si="40"/>
        <v>mwc</v>
      </c>
      <c r="X843">
        <f t="shared" si="41"/>
        <v>2000</v>
      </c>
    </row>
    <row r="844" spans="1:24">
      <c r="A844" t="s">
        <v>1375</v>
      </c>
      <c r="B844">
        <v>6.5</v>
      </c>
      <c r="C844" s="1">
        <v>36694.652777777781</v>
      </c>
      <c r="D844">
        <v>0</v>
      </c>
      <c r="E844">
        <v>8</v>
      </c>
      <c r="G844">
        <v>0</v>
      </c>
      <c r="H844">
        <v>650</v>
      </c>
      <c r="I844" t="s">
        <v>46</v>
      </c>
      <c r="J844">
        <v>406</v>
      </c>
      <c r="K844">
        <v>0</v>
      </c>
      <c r="L844">
        <v>0</v>
      </c>
      <c r="M844" t="s">
        <v>13</v>
      </c>
      <c r="N844">
        <v>10</v>
      </c>
      <c r="O844">
        <v>63.966000000000001</v>
      </c>
      <c r="P844">
        <v>-20.486999999999998</v>
      </c>
      <c r="Q844" t="s">
        <v>1371</v>
      </c>
      <c r="S844" t="s">
        <v>1372</v>
      </c>
      <c r="U844" t="str">
        <f t="shared" si="39"/>
        <v>N km direction of city</v>
      </c>
      <c r="V844" t="str">
        <f t="shared" si="40"/>
        <v>mwc</v>
      </c>
      <c r="X844">
        <f t="shared" si="41"/>
        <v>2000</v>
      </c>
    </row>
    <row r="845" spans="1:24">
      <c r="A845" t="s">
        <v>1376</v>
      </c>
      <c r="B845">
        <v>6.7</v>
      </c>
      <c r="C845" s="1">
        <v>36684.989583333343</v>
      </c>
      <c r="D845">
        <v>0</v>
      </c>
      <c r="E845">
        <v>5</v>
      </c>
      <c r="G845">
        <v>0</v>
      </c>
      <c r="H845">
        <v>691</v>
      </c>
      <c r="I845" t="s">
        <v>46</v>
      </c>
      <c r="J845">
        <v>352</v>
      </c>
      <c r="K845">
        <v>0</v>
      </c>
      <c r="L845">
        <v>0</v>
      </c>
      <c r="M845" t="s">
        <v>13</v>
      </c>
      <c r="N845">
        <v>33</v>
      </c>
      <c r="O845">
        <v>-4.6120000000000001</v>
      </c>
      <c r="P845">
        <v>101.905</v>
      </c>
      <c r="Q845" t="s">
        <v>126</v>
      </c>
      <c r="S845" t="s">
        <v>77</v>
      </c>
      <c r="U845" t="str">
        <f t="shared" si="39"/>
        <v>N km direction of city</v>
      </c>
      <c r="V845" t="str">
        <f t="shared" si="40"/>
        <v>mwc</v>
      </c>
      <c r="X845">
        <f t="shared" si="41"/>
        <v>2000</v>
      </c>
    </row>
    <row r="846" spans="1:24">
      <c r="A846" t="s">
        <v>1377</v>
      </c>
      <c r="B846">
        <v>6.7</v>
      </c>
      <c r="C846" s="1">
        <v>36681.693749999999</v>
      </c>
      <c r="D846">
        <v>0</v>
      </c>
      <c r="E846">
        <v>5</v>
      </c>
      <c r="G846">
        <v>0</v>
      </c>
      <c r="H846">
        <v>691</v>
      </c>
      <c r="I846" t="s">
        <v>46</v>
      </c>
      <c r="J846">
        <v>147</v>
      </c>
      <c r="K846">
        <v>0</v>
      </c>
      <c r="L846">
        <v>0</v>
      </c>
      <c r="M846" t="s">
        <v>6</v>
      </c>
      <c r="N846">
        <v>33</v>
      </c>
      <c r="O846">
        <v>-4.6459999999999999</v>
      </c>
      <c r="P846">
        <v>102.102</v>
      </c>
      <c r="Q846" t="s">
        <v>126</v>
      </c>
      <c r="S846" t="s">
        <v>77</v>
      </c>
      <c r="U846" t="str">
        <f t="shared" si="39"/>
        <v>N km direction of city</v>
      </c>
      <c r="V846" t="str">
        <f t="shared" si="40"/>
        <v>mb</v>
      </c>
      <c r="X846">
        <f t="shared" si="41"/>
        <v>2000</v>
      </c>
    </row>
    <row r="847" spans="1:24">
      <c r="A847" t="s">
        <v>1378</v>
      </c>
      <c r="B847">
        <v>7.9</v>
      </c>
      <c r="C847" s="1">
        <v>36681.686111111107</v>
      </c>
      <c r="D847">
        <v>0</v>
      </c>
      <c r="E847">
        <v>8</v>
      </c>
      <c r="G847">
        <v>0</v>
      </c>
      <c r="H847">
        <v>960</v>
      </c>
      <c r="I847" t="s">
        <v>46</v>
      </c>
      <c r="J847">
        <v>379</v>
      </c>
      <c r="K847">
        <v>0</v>
      </c>
      <c r="L847">
        <v>0</v>
      </c>
      <c r="M847" t="s">
        <v>13</v>
      </c>
      <c r="N847">
        <v>33</v>
      </c>
      <c r="O847">
        <v>-4.7210000000000001</v>
      </c>
      <c r="P847">
        <v>102.087</v>
      </c>
      <c r="Q847" t="s">
        <v>126</v>
      </c>
      <c r="S847" t="s">
        <v>77</v>
      </c>
      <c r="U847" t="str">
        <f t="shared" si="39"/>
        <v>N km direction of city</v>
      </c>
      <c r="V847" t="str">
        <f t="shared" si="40"/>
        <v>mwc</v>
      </c>
      <c r="X847">
        <f t="shared" si="41"/>
        <v>2000</v>
      </c>
    </row>
    <row r="848" spans="1:24">
      <c r="A848" t="s">
        <v>1379</v>
      </c>
      <c r="B848">
        <v>7.2</v>
      </c>
      <c r="C848" s="1">
        <v>36658.779861111107</v>
      </c>
      <c r="D848">
        <v>0</v>
      </c>
      <c r="E848">
        <v>5</v>
      </c>
      <c r="G848">
        <v>0</v>
      </c>
      <c r="H848">
        <v>798</v>
      </c>
      <c r="I848" t="s">
        <v>46</v>
      </c>
      <c r="J848">
        <v>0</v>
      </c>
      <c r="K848">
        <v>0</v>
      </c>
      <c r="L848">
        <v>0</v>
      </c>
      <c r="M848" t="s">
        <v>13</v>
      </c>
      <c r="N848">
        <v>225</v>
      </c>
      <c r="O848">
        <v>-23.547999999999998</v>
      </c>
      <c r="P848">
        <v>-66.451999999999998</v>
      </c>
      <c r="Q848" t="s">
        <v>91</v>
      </c>
      <c r="R848" t="s">
        <v>53</v>
      </c>
      <c r="S848" t="s">
        <v>54</v>
      </c>
      <c r="U848" t="str">
        <f t="shared" si="39"/>
        <v>N km direction of city</v>
      </c>
      <c r="V848" t="str">
        <f t="shared" si="40"/>
        <v>mwc</v>
      </c>
      <c r="X848">
        <f t="shared" si="41"/>
        <v>2000</v>
      </c>
    </row>
    <row r="849" spans="1:24">
      <c r="A849" t="s">
        <v>1380</v>
      </c>
      <c r="B849">
        <v>7.6</v>
      </c>
      <c r="C849" s="1">
        <v>36650.181250000001</v>
      </c>
      <c r="D849">
        <v>0</v>
      </c>
      <c r="E849">
        <v>7</v>
      </c>
      <c r="G849">
        <v>0</v>
      </c>
      <c r="H849">
        <v>889</v>
      </c>
      <c r="I849" t="s">
        <v>46</v>
      </c>
      <c r="J849">
        <v>0</v>
      </c>
      <c r="K849">
        <v>0</v>
      </c>
      <c r="L849">
        <v>0</v>
      </c>
      <c r="M849" t="s">
        <v>13</v>
      </c>
      <c r="N849">
        <v>26</v>
      </c>
      <c r="O849">
        <v>-1.105</v>
      </c>
      <c r="P849">
        <v>123.57299999999999</v>
      </c>
      <c r="Q849" t="s">
        <v>362</v>
      </c>
      <c r="S849" t="s">
        <v>77</v>
      </c>
      <c r="U849" t="str">
        <f t="shared" si="39"/>
        <v>N km direction of city</v>
      </c>
      <c r="V849" t="str">
        <f t="shared" si="40"/>
        <v>mwc</v>
      </c>
      <c r="X849">
        <f t="shared" si="41"/>
        <v>2000</v>
      </c>
    </row>
    <row r="850" spans="1:24">
      <c r="A850" t="s">
        <v>1381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46</v>
      </c>
      <c r="J850">
        <v>0</v>
      </c>
      <c r="K850">
        <v>0</v>
      </c>
      <c r="L850">
        <v>0</v>
      </c>
      <c r="M850" t="s">
        <v>13</v>
      </c>
      <c r="N850">
        <v>10</v>
      </c>
      <c r="O850">
        <v>-6.8170000000000002</v>
      </c>
      <c r="P850">
        <v>143.80699999999999</v>
      </c>
      <c r="Q850" t="s">
        <v>1382</v>
      </c>
      <c r="S850" t="s">
        <v>89</v>
      </c>
      <c r="U850" t="str">
        <f t="shared" si="39"/>
        <v>N km direction of city</v>
      </c>
      <c r="V850" t="str">
        <f t="shared" si="40"/>
        <v>mwc</v>
      </c>
      <c r="X850">
        <f t="shared" si="41"/>
        <v>2000</v>
      </c>
    </row>
    <row r="851" spans="1:24">
      <c r="A851" t="s">
        <v>1383</v>
      </c>
      <c r="B851">
        <v>6.6</v>
      </c>
      <c r="C851" s="1">
        <v>36562.481249999997</v>
      </c>
      <c r="D851">
        <v>0</v>
      </c>
      <c r="E851">
        <v>6</v>
      </c>
      <c r="G851">
        <v>0</v>
      </c>
      <c r="H851">
        <v>670</v>
      </c>
      <c r="I851" t="s">
        <v>46</v>
      </c>
      <c r="J851">
        <v>0</v>
      </c>
      <c r="K851">
        <v>0</v>
      </c>
      <c r="L851">
        <v>0</v>
      </c>
      <c r="M851" t="s">
        <v>13</v>
      </c>
      <c r="N851">
        <v>33</v>
      </c>
      <c r="O851">
        <v>-5.8440000000000003</v>
      </c>
      <c r="P851">
        <v>150.876</v>
      </c>
      <c r="Q851" t="s">
        <v>103</v>
      </c>
      <c r="S851" t="s">
        <v>89</v>
      </c>
      <c r="U851" t="str">
        <f t="shared" si="39"/>
        <v>N km direction of city</v>
      </c>
      <c r="V851" t="str">
        <f t="shared" si="40"/>
        <v>mwc</v>
      </c>
      <c r="X851">
        <f t="shared" si="41"/>
        <v>2000</v>
      </c>
    </row>
    <row r="852" spans="1:24">
      <c r="A852" t="s">
        <v>1384</v>
      </c>
      <c r="B852">
        <v>6.8</v>
      </c>
      <c r="C852" s="1">
        <v>36553.597916666673</v>
      </c>
      <c r="D852">
        <v>0</v>
      </c>
      <c r="E852">
        <v>6</v>
      </c>
      <c r="G852">
        <v>0</v>
      </c>
      <c r="H852">
        <v>711</v>
      </c>
      <c r="I852" t="s">
        <v>46</v>
      </c>
      <c r="J852">
        <v>0</v>
      </c>
      <c r="K852">
        <v>0</v>
      </c>
      <c r="L852">
        <v>0</v>
      </c>
      <c r="M852" t="s">
        <v>13</v>
      </c>
      <c r="N852">
        <v>61.1</v>
      </c>
      <c r="O852">
        <v>43.045999999999999</v>
      </c>
      <c r="P852">
        <v>146.83699999999999</v>
      </c>
      <c r="Q852" t="s">
        <v>1385</v>
      </c>
      <c r="U852" t="str">
        <f t="shared" si="39"/>
        <v>N km direction of city</v>
      </c>
      <c r="V852" t="str">
        <f t="shared" si="40"/>
        <v>mwc</v>
      </c>
      <c r="X852">
        <f t="shared" si="41"/>
        <v>2000</v>
      </c>
    </row>
    <row r="853" spans="1:24">
      <c r="A853" t="s">
        <v>1386</v>
      </c>
      <c r="B853">
        <v>7.2</v>
      </c>
      <c r="C853" s="1">
        <v>36533.699305555558</v>
      </c>
      <c r="D853">
        <v>0</v>
      </c>
      <c r="E853">
        <v>6</v>
      </c>
      <c r="G853">
        <v>0</v>
      </c>
      <c r="H853">
        <v>798</v>
      </c>
      <c r="I853" t="s">
        <v>46</v>
      </c>
      <c r="J853">
        <v>0</v>
      </c>
      <c r="K853">
        <v>0</v>
      </c>
      <c r="L853">
        <v>0</v>
      </c>
      <c r="M853" t="s">
        <v>13</v>
      </c>
      <c r="N853">
        <v>183.4</v>
      </c>
      <c r="O853">
        <v>-16.925000000000001</v>
      </c>
      <c r="P853">
        <v>-174.24799999999999</v>
      </c>
      <c r="Q853" t="s">
        <v>73</v>
      </c>
      <c r="U853" t="str">
        <f t="shared" si="39"/>
        <v>N km direction of city</v>
      </c>
      <c r="V853" t="str">
        <f t="shared" si="40"/>
        <v>mwc</v>
      </c>
      <c r="X853">
        <f t="shared" si="41"/>
        <v>2000</v>
      </c>
    </row>
    <row r="854" spans="1:24">
      <c r="A854" t="s">
        <v>1387</v>
      </c>
      <c r="B854">
        <v>6.9</v>
      </c>
      <c r="C854" s="1">
        <v>36523.561805555553</v>
      </c>
      <c r="D854">
        <v>0</v>
      </c>
      <c r="E854">
        <v>6</v>
      </c>
      <c r="G854">
        <v>0</v>
      </c>
      <c r="H854">
        <v>732</v>
      </c>
      <c r="I854" t="s">
        <v>46</v>
      </c>
      <c r="J854">
        <v>0</v>
      </c>
      <c r="K854">
        <v>0</v>
      </c>
      <c r="L854">
        <v>0</v>
      </c>
      <c r="M854" t="s">
        <v>12</v>
      </c>
      <c r="N854">
        <v>33</v>
      </c>
      <c r="O854">
        <v>-10.86</v>
      </c>
      <c r="P854">
        <v>165.35400000000001</v>
      </c>
      <c r="Q854" t="s">
        <v>299</v>
      </c>
      <c r="U854" t="str">
        <f t="shared" si="39"/>
        <v>N km direction of city</v>
      </c>
      <c r="V854" t="str">
        <f t="shared" si="40"/>
        <v>mwb</v>
      </c>
      <c r="X854">
        <f t="shared" si="41"/>
        <v>1999</v>
      </c>
    </row>
    <row r="855" spans="1:24">
      <c r="A855" t="s">
        <v>1388</v>
      </c>
      <c r="B855">
        <v>6.5</v>
      </c>
      <c r="C855" s="1">
        <v>36515.593055555553</v>
      </c>
      <c r="D855">
        <v>0</v>
      </c>
      <c r="E855">
        <v>6</v>
      </c>
      <c r="G855">
        <v>0</v>
      </c>
      <c r="H855">
        <v>650</v>
      </c>
      <c r="I855" t="s">
        <v>46</v>
      </c>
      <c r="J855">
        <v>0</v>
      </c>
      <c r="K855">
        <v>0</v>
      </c>
      <c r="L855">
        <v>0</v>
      </c>
      <c r="M855" t="s">
        <v>12</v>
      </c>
      <c r="N855">
        <v>56</v>
      </c>
      <c r="O855">
        <v>-6.8449999999999998</v>
      </c>
      <c r="P855">
        <v>105.55500000000001</v>
      </c>
      <c r="Q855" t="s">
        <v>183</v>
      </c>
      <c r="S855" t="s">
        <v>77</v>
      </c>
      <c r="U855" t="str">
        <f t="shared" si="39"/>
        <v>N km direction of city</v>
      </c>
      <c r="V855" t="str">
        <f t="shared" si="40"/>
        <v>mwb</v>
      </c>
      <c r="X855">
        <f t="shared" si="41"/>
        <v>1999</v>
      </c>
    </row>
    <row r="856" spans="1:24">
      <c r="A856" t="s">
        <v>1389</v>
      </c>
      <c r="B856">
        <v>7.3</v>
      </c>
      <c r="C856" s="1">
        <v>36505.752083333333</v>
      </c>
      <c r="D856">
        <v>0</v>
      </c>
      <c r="E856">
        <v>7</v>
      </c>
      <c r="G856">
        <v>0</v>
      </c>
      <c r="H856">
        <v>820</v>
      </c>
      <c r="I856" t="s">
        <v>46</v>
      </c>
      <c r="J856">
        <v>0</v>
      </c>
      <c r="K856">
        <v>0</v>
      </c>
      <c r="L856">
        <v>0</v>
      </c>
      <c r="M856" t="s">
        <v>13</v>
      </c>
      <c r="N856">
        <v>33</v>
      </c>
      <c r="O856">
        <v>15.766</v>
      </c>
      <c r="P856">
        <v>119.74</v>
      </c>
      <c r="Q856" t="s">
        <v>1390</v>
      </c>
      <c r="S856" t="s">
        <v>158</v>
      </c>
      <c r="U856" t="str">
        <f t="shared" si="39"/>
        <v>N km direction of city</v>
      </c>
      <c r="V856" t="str">
        <f t="shared" si="40"/>
        <v>mwc</v>
      </c>
      <c r="X856">
        <f t="shared" si="41"/>
        <v>1999</v>
      </c>
    </row>
    <row r="857" spans="1:24">
      <c r="A857" t="s">
        <v>1391</v>
      </c>
      <c r="B857">
        <v>7</v>
      </c>
      <c r="C857" s="1">
        <v>36500.966666666667</v>
      </c>
      <c r="D857">
        <v>0</v>
      </c>
      <c r="E857">
        <v>7</v>
      </c>
      <c r="G857">
        <v>0</v>
      </c>
      <c r="H857">
        <v>754</v>
      </c>
      <c r="I857" t="s">
        <v>202</v>
      </c>
      <c r="J857">
        <v>0</v>
      </c>
      <c r="K857">
        <v>0</v>
      </c>
      <c r="L857">
        <v>0</v>
      </c>
      <c r="M857" t="s">
        <v>11</v>
      </c>
      <c r="N857">
        <v>43.6</v>
      </c>
      <c r="O857">
        <v>57.342399999999998</v>
      </c>
      <c r="P857">
        <v>-154.34700000000001</v>
      </c>
      <c r="Q857" t="s">
        <v>1392</v>
      </c>
      <c r="R857" t="s">
        <v>139</v>
      </c>
      <c r="S857" t="s">
        <v>204</v>
      </c>
      <c r="U857" t="str">
        <f t="shared" si="39"/>
        <v>N km direction of city</v>
      </c>
      <c r="V857" t="str">
        <f t="shared" si="40"/>
        <v>mw</v>
      </c>
      <c r="X857">
        <f t="shared" si="41"/>
        <v>1999</v>
      </c>
    </row>
    <row r="858" spans="1:24">
      <c r="A858" t="s">
        <v>1393</v>
      </c>
      <c r="B858">
        <v>6.6</v>
      </c>
      <c r="C858" s="1">
        <v>36494.167361111111</v>
      </c>
      <c r="D858">
        <v>0</v>
      </c>
      <c r="E858">
        <v>5</v>
      </c>
      <c r="G858">
        <v>0</v>
      </c>
      <c r="H858">
        <v>670</v>
      </c>
      <c r="I858" t="s">
        <v>46</v>
      </c>
      <c r="J858">
        <v>0</v>
      </c>
      <c r="K858">
        <v>0</v>
      </c>
      <c r="L858">
        <v>0</v>
      </c>
      <c r="M858" t="s">
        <v>12</v>
      </c>
      <c r="N858">
        <v>128.1</v>
      </c>
      <c r="O858">
        <v>-18.901</v>
      </c>
      <c r="P858">
        <v>-69.171000000000006</v>
      </c>
      <c r="Q858" t="s">
        <v>1394</v>
      </c>
      <c r="R858" t="s">
        <v>53</v>
      </c>
      <c r="S858" t="s">
        <v>275</v>
      </c>
      <c r="U858" t="str">
        <f t="shared" si="39"/>
        <v>N km direction of city</v>
      </c>
      <c r="V858" t="str">
        <f t="shared" si="40"/>
        <v>mwb</v>
      </c>
      <c r="X858">
        <f t="shared" si="41"/>
        <v>1999</v>
      </c>
    </row>
    <row r="859" spans="1:24">
      <c r="A859" t="s">
        <v>1395</v>
      </c>
      <c r="B859">
        <v>7.5</v>
      </c>
      <c r="C859" s="1">
        <v>36490.556250000001</v>
      </c>
      <c r="D859">
        <v>0</v>
      </c>
      <c r="E859">
        <v>7</v>
      </c>
      <c r="G859">
        <v>0</v>
      </c>
      <c r="H859">
        <v>865</v>
      </c>
      <c r="I859" t="s">
        <v>46</v>
      </c>
      <c r="J859">
        <v>0</v>
      </c>
      <c r="K859">
        <v>0</v>
      </c>
      <c r="L859">
        <v>0</v>
      </c>
      <c r="M859" t="s">
        <v>13</v>
      </c>
      <c r="N859">
        <v>33</v>
      </c>
      <c r="O859">
        <v>-16.422999999999998</v>
      </c>
      <c r="P859">
        <v>168.214</v>
      </c>
      <c r="Q859" t="s">
        <v>339</v>
      </c>
      <c r="S859" t="s">
        <v>48</v>
      </c>
      <c r="U859" t="str">
        <f t="shared" si="39"/>
        <v>N km direction of city</v>
      </c>
      <c r="V859" t="str">
        <f t="shared" si="40"/>
        <v>mwc</v>
      </c>
      <c r="X859">
        <f t="shared" si="41"/>
        <v>1999</v>
      </c>
    </row>
    <row r="860" spans="1:24">
      <c r="A860" t="s">
        <v>1396</v>
      </c>
      <c r="B860">
        <v>7</v>
      </c>
      <c r="C860" s="1">
        <v>36483.580555555563</v>
      </c>
      <c r="D860">
        <v>0</v>
      </c>
      <c r="E860">
        <v>6</v>
      </c>
      <c r="G860">
        <v>0</v>
      </c>
      <c r="H860">
        <v>754</v>
      </c>
      <c r="I860" t="s">
        <v>46</v>
      </c>
      <c r="J860">
        <v>0</v>
      </c>
      <c r="K860">
        <v>0</v>
      </c>
      <c r="L860">
        <v>0</v>
      </c>
      <c r="M860" t="s">
        <v>13</v>
      </c>
      <c r="N860">
        <v>33</v>
      </c>
      <c r="O860">
        <v>-6.351</v>
      </c>
      <c r="P860">
        <v>148.76300000000001</v>
      </c>
      <c r="Q860" t="s">
        <v>539</v>
      </c>
      <c r="S860" t="s">
        <v>89</v>
      </c>
      <c r="U860" t="str">
        <f t="shared" si="39"/>
        <v>N km direction of city</v>
      </c>
      <c r="V860" t="str">
        <f t="shared" si="40"/>
        <v>mwc</v>
      </c>
      <c r="X860">
        <f t="shared" si="41"/>
        <v>1999</v>
      </c>
    </row>
    <row r="861" spans="1:24">
      <c r="A861" t="s">
        <v>1397</v>
      </c>
      <c r="B861">
        <v>6.9</v>
      </c>
      <c r="C861" s="1">
        <v>36481.143750000003</v>
      </c>
      <c r="D861">
        <v>0</v>
      </c>
      <c r="E861">
        <v>6</v>
      </c>
      <c r="G861">
        <v>0</v>
      </c>
      <c r="H861">
        <v>732</v>
      </c>
      <c r="I861" t="s">
        <v>46</v>
      </c>
      <c r="J861">
        <v>0</v>
      </c>
      <c r="K861">
        <v>0</v>
      </c>
      <c r="L861">
        <v>0</v>
      </c>
      <c r="M861" t="s">
        <v>13</v>
      </c>
      <c r="N861">
        <v>47.5</v>
      </c>
      <c r="O861">
        <v>-5.9779999999999998</v>
      </c>
      <c r="P861">
        <v>148.82</v>
      </c>
      <c r="Q861" t="s">
        <v>539</v>
      </c>
      <c r="S861" t="s">
        <v>89</v>
      </c>
      <c r="U861" t="str">
        <f t="shared" si="39"/>
        <v>N km direction of city</v>
      </c>
      <c r="V861" t="str">
        <f t="shared" si="40"/>
        <v>mwc</v>
      </c>
      <c r="X861">
        <f t="shared" si="41"/>
        <v>1999</v>
      </c>
    </row>
    <row r="862" spans="1:24">
      <c r="A862" t="s">
        <v>1398</v>
      </c>
      <c r="B862">
        <v>7.2</v>
      </c>
      <c r="C862" s="1">
        <v>36476.706250000003</v>
      </c>
      <c r="D862">
        <v>0</v>
      </c>
      <c r="E862">
        <v>9</v>
      </c>
      <c r="G862">
        <v>0</v>
      </c>
      <c r="H862">
        <v>798</v>
      </c>
      <c r="I862" t="s">
        <v>46</v>
      </c>
      <c r="J862">
        <v>0</v>
      </c>
      <c r="K862">
        <v>0</v>
      </c>
      <c r="L862">
        <v>0</v>
      </c>
      <c r="M862" t="s">
        <v>13</v>
      </c>
      <c r="N862">
        <v>10</v>
      </c>
      <c r="O862">
        <v>40.758000000000003</v>
      </c>
      <c r="P862">
        <v>31.161000000000001</v>
      </c>
      <c r="Q862" t="s">
        <v>1399</v>
      </c>
      <c r="R862" t="s">
        <v>85</v>
      </c>
      <c r="S862" t="s">
        <v>315</v>
      </c>
      <c r="U862" t="str">
        <f t="shared" si="39"/>
        <v>N km direction of city</v>
      </c>
      <c r="V862" t="str">
        <f t="shared" si="40"/>
        <v>mwc</v>
      </c>
      <c r="X862">
        <f t="shared" si="41"/>
        <v>1999</v>
      </c>
    </row>
    <row r="863" spans="1:24">
      <c r="A863" t="s">
        <v>1400</v>
      </c>
      <c r="B863">
        <v>6.5</v>
      </c>
      <c r="C863" s="1">
        <v>36472.697916666657</v>
      </c>
      <c r="D863">
        <v>0</v>
      </c>
      <c r="E863">
        <v>4</v>
      </c>
      <c r="G863">
        <v>0</v>
      </c>
      <c r="H863">
        <v>650</v>
      </c>
      <c r="I863" t="s">
        <v>46</v>
      </c>
      <c r="J863">
        <v>0</v>
      </c>
      <c r="K863">
        <v>0</v>
      </c>
      <c r="L863">
        <v>0</v>
      </c>
      <c r="M863" t="s">
        <v>13</v>
      </c>
      <c r="N863">
        <v>228.4</v>
      </c>
      <c r="O863">
        <v>36.521999999999998</v>
      </c>
      <c r="P863">
        <v>71.239999999999995</v>
      </c>
      <c r="Q863" t="s">
        <v>566</v>
      </c>
      <c r="R863" t="s">
        <v>85</v>
      </c>
      <c r="S863" t="s">
        <v>94</v>
      </c>
      <c r="U863" t="str">
        <f t="shared" si="39"/>
        <v>N km direction of city</v>
      </c>
      <c r="V863" t="str">
        <f t="shared" si="40"/>
        <v>mwc</v>
      </c>
      <c r="X863">
        <f t="shared" si="41"/>
        <v>1999</v>
      </c>
    </row>
    <row r="864" spans="1:24">
      <c r="A864" t="s">
        <v>1401</v>
      </c>
      <c r="B864">
        <v>7.1</v>
      </c>
      <c r="C864" s="1">
        <v>36449.406944444447</v>
      </c>
      <c r="D864">
        <v>8</v>
      </c>
      <c r="E864">
        <v>8</v>
      </c>
      <c r="G864">
        <v>0</v>
      </c>
      <c r="H864">
        <v>1576</v>
      </c>
      <c r="I864" t="s">
        <v>347</v>
      </c>
      <c r="J864">
        <v>73</v>
      </c>
      <c r="K864">
        <v>0</v>
      </c>
      <c r="L864">
        <v>57</v>
      </c>
      <c r="M864" t="s">
        <v>11</v>
      </c>
      <c r="N864">
        <v>13.73</v>
      </c>
      <c r="O864">
        <v>34.603299999999997</v>
      </c>
      <c r="P864">
        <v>-116.265</v>
      </c>
      <c r="Q864" t="s">
        <v>1402</v>
      </c>
      <c r="R864" t="s">
        <v>139</v>
      </c>
      <c r="S864" t="s">
        <v>204</v>
      </c>
      <c r="U864" t="str">
        <f t="shared" si="39"/>
        <v>Named-region</v>
      </c>
      <c r="V864" t="str">
        <f t="shared" si="40"/>
        <v>mw</v>
      </c>
      <c r="X864">
        <f t="shared" si="41"/>
        <v>1999</v>
      </c>
    </row>
    <row r="865" spans="1:24">
      <c r="A865" t="s">
        <v>1403</v>
      </c>
      <c r="B865">
        <v>7.5</v>
      </c>
      <c r="C865" s="1">
        <v>36433.688194444447</v>
      </c>
      <c r="D865">
        <v>0</v>
      </c>
      <c r="E865">
        <v>8</v>
      </c>
      <c r="G865">
        <v>0</v>
      </c>
      <c r="H865">
        <v>865</v>
      </c>
      <c r="I865" t="s">
        <v>46</v>
      </c>
      <c r="J865">
        <v>0</v>
      </c>
      <c r="K865">
        <v>0</v>
      </c>
      <c r="L865">
        <v>0</v>
      </c>
      <c r="M865" t="s">
        <v>13</v>
      </c>
      <c r="N865">
        <v>60.6</v>
      </c>
      <c r="O865">
        <v>16.059000000000001</v>
      </c>
      <c r="P865">
        <v>-96.930999999999997</v>
      </c>
      <c r="Q865" t="s">
        <v>1404</v>
      </c>
      <c r="R865" t="s">
        <v>139</v>
      </c>
      <c r="S865" t="s">
        <v>140</v>
      </c>
      <c r="U865" t="str">
        <f t="shared" si="39"/>
        <v>N km direction of city</v>
      </c>
      <c r="V865" t="str">
        <f t="shared" si="40"/>
        <v>mwc</v>
      </c>
      <c r="X865">
        <f t="shared" si="41"/>
        <v>1999</v>
      </c>
    </row>
    <row r="866" spans="1:24">
      <c r="A866" t="s">
        <v>1405</v>
      </c>
      <c r="B866">
        <v>6.5</v>
      </c>
      <c r="C866" s="1">
        <v>36428.994444444441</v>
      </c>
      <c r="D866">
        <v>0</v>
      </c>
      <c r="E866">
        <v>7</v>
      </c>
      <c r="G866">
        <v>0</v>
      </c>
      <c r="H866">
        <v>650</v>
      </c>
      <c r="I866" t="s">
        <v>46</v>
      </c>
      <c r="J866">
        <v>0</v>
      </c>
      <c r="K866">
        <v>0</v>
      </c>
      <c r="L866">
        <v>0</v>
      </c>
      <c r="M866" t="s">
        <v>13</v>
      </c>
      <c r="N866">
        <v>17</v>
      </c>
      <c r="O866">
        <v>23.738</v>
      </c>
      <c r="P866">
        <v>121.158</v>
      </c>
      <c r="Q866" t="s">
        <v>1406</v>
      </c>
      <c r="R866" t="s">
        <v>85</v>
      </c>
      <c r="S866" t="s">
        <v>144</v>
      </c>
      <c r="U866" t="str">
        <f t="shared" si="39"/>
        <v>N km direction of city</v>
      </c>
      <c r="V866" t="str">
        <f t="shared" si="40"/>
        <v>mwc</v>
      </c>
      <c r="X866">
        <f t="shared" si="41"/>
        <v>1999</v>
      </c>
    </row>
    <row r="867" spans="1:24">
      <c r="A867" t="s">
        <v>1407</v>
      </c>
      <c r="B867">
        <v>7.7</v>
      </c>
      <c r="C867" s="1">
        <v>36423.740972222222</v>
      </c>
      <c r="D867">
        <v>0</v>
      </c>
      <c r="E867">
        <v>9</v>
      </c>
      <c r="G867">
        <v>0</v>
      </c>
      <c r="H867">
        <v>912</v>
      </c>
      <c r="I867" t="s">
        <v>46</v>
      </c>
      <c r="J867">
        <v>0</v>
      </c>
      <c r="K867">
        <v>0</v>
      </c>
      <c r="L867">
        <v>0</v>
      </c>
      <c r="M867" t="s">
        <v>13</v>
      </c>
      <c r="N867">
        <v>33</v>
      </c>
      <c r="O867">
        <v>23.771999999999998</v>
      </c>
      <c r="P867">
        <v>120.982</v>
      </c>
      <c r="Q867" t="s">
        <v>1406</v>
      </c>
      <c r="R867" t="s">
        <v>85</v>
      </c>
      <c r="S867" t="s">
        <v>144</v>
      </c>
      <c r="U867" t="str">
        <f t="shared" si="39"/>
        <v>N km direction of city</v>
      </c>
      <c r="V867" t="str">
        <f t="shared" si="40"/>
        <v>mwc</v>
      </c>
      <c r="X867">
        <f t="shared" si="41"/>
        <v>1999</v>
      </c>
    </row>
    <row r="868" spans="1:24">
      <c r="A868" t="s">
        <v>1408</v>
      </c>
      <c r="B868">
        <v>6.6</v>
      </c>
      <c r="C868" s="1">
        <v>36394.527777777781</v>
      </c>
      <c r="D868">
        <v>0</v>
      </c>
      <c r="E868">
        <v>6</v>
      </c>
      <c r="G868">
        <v>0</v>
      </c>
      <c r="H868">
        <v>670</v>
      </c>
      <c r="I868" t="s">
        <v>46</v>
      </c>
      <c r="J868">
        <v>0</v>
      </c>
      <c r="K868">
        <v>0</v>
      </c>
      <c r="L868">
        <v>0</v>
      </c>
      <c r="M868" t="s">
        <v>13</v>
      </c>
      <c r="N868">
        <v>33</v>
      </c>
      <c r="O868">
        <v>-16.117000000000001</v>
      </c>
      <c r="P868">
        <v>168.03899999999999</v>
      </c>
      <c r="Q868" t="s">
        <v>339</v>
      </c>
      <c r="S868" t="s">
        <v>48</v>
      </c>
      <c r="U868" t="str">
        <f t="shared" si="39"/>
        <v>N km direction of city</v>
      </c>
      <c r="V868" t="str">
        <f t="shared" si="40"/>
        <v>mwc</v>
      </c>
      <c r="X868">
        <f t="shared" si="41"/>
        <v>1999</v>
      </c>
    </row>
    <row r="869" spans="1:24">
      <c r="A869" t="s">
        <v>1409</v>
      </c>
      <c r="B869">
        <v>6.9</v>
      </c>
      <c r="C869" s="1">
        <v>36392.418055555558</v>
      </c>
      <c r="D869">
        <v>0</v>
      </c>
      <c r="E869">
        <v>6</v>
      </c>
      <c r="G869">
        <v>0</v>
      </c>
      <c r="H869">
        <v>732</v>
      </c>
      <c r="I869" t="s">
        <v>46</v>
      </c>
      <c r="J869">
        <v>0</v>
      </c>
      <c r="K869">
        <v>0</v>
      </c>
      <c r="L869">
        <v>0</v>
      </c>
      <c r="M869" t="s">
        <v>13</v>
      </c>
      <c r="N869">
        <v>20</v>
      </c>
      <c r="O869">
        <v>9.0440000000000005</v>
      </c>
      <c r="P869">
        <v>-84.159000000000006</v>
      </c>
      <c r="Q869" t="s">
        <v>1410</v>
      </c>
      <c r="U869" t="str">
        <f t="shared" si="39"/>
        <v>N km direction of city</v>
      </c>
      <c r="V869" t="str">
        <f t="shared" si="40"/>
        <v>mwc</v>
      </c>
      <c r="X869">
        <f t="shared" si="41"/>
        <v>1999</v>
      </c>
    </row>
    <row r="870" spans="1:24">
      <c r="A870" t="s">
        <v>1411</v>
      </c>
      <c r="B870">
        <v>7.6</v>
      </c>
      <c r="C870" s="1">
        <v>36389.000694444447</v>
      </c>
      <c r="D870">
        <v>0</v>
      </c>
      <c r="E870">
        <v>9</v>
      </c>
      <c r="G870">
        <v>0</v>
      </c>
      <c r="H870">
        <v>889</v>
      </c>
      <c r="I870" t="s">
        <v>46</v>
      </c>
      <c r="J870">
        <v>0</v>
      </c>
      <c r="K870">
        <v>0</v>
      </c>
      <c r="L870">
        <v>0</v>
      </c>
      <c r="M870" t="s">
        <v>13</v>
      </c>
      <c r="N870">
        <v>17</v>
      </c>
      <c r="O870">
        <v>40.747999999999998</v>
      </c>
      <c r="P870">
        <v>29.864000000000001</v>
      </c>
      <c r="Q870" t="s">
        <v>1412</v>
      </c>
      <c r="R870" t="s">
        <v>85</v>
      </c>
      <c r="S870" t="s">
        <v>315</v>
      </c>
      <c r="U870" t="str">
        <f t="shared" si="39"/>
        <v>N km direction of city</v>
      </c>
      <c r="V870" t="str">
        <f t="shared" si="40"/>
        <v>mwc</v>
      </c>
      <c r="X870">
        <f t="shared" si="41"/>
        <v>1999</v>
      </c>
    </row>
    <row r="871" spans="1:24">
      <c r="A871" t="s">
        <v>1413</v>
      </c>
      <c r="B871">
        <v>6.7</v>
      </c>
      <c r="C871" s="1">
        <v>36352.593055555553</v>
      </c>
      <c r="D871">
        <v>0</v>
      </c>
      <c r="E871">
        <v>8</v>
      </c>
      <c r="G871">
        <v>0</v>
      </c>
      <c r="H871">
        <v>691</v>
      </c>
      <c r="I871" t="s">
        <v>46</v>
      </c>
      <c r="J871">
        <v>0</v>
      </c>
      <c r="K871">
        <v>0</v>
      </c>
      <c r="L871">
        <v>0</v>
      </c>
      <c r="M871" t="s">
        <v>13</v>
      </c>
      <c r="N871">
        <v>10</v>
      </c>
      <c r="O871">
        <v>15.782</v>
      </c>
      <c r="P871">
        <v>-88.33</v>
      </c>
      <c r="Q871" t="s">
        <v>1414</v>
      </c>
      <c r="S871" t="s">
        <v>485</v>
      </c>
      <c r="U871" t="str">
        <f t="shared" si="39"/>
        <v>N km direction of city</v>
      </c>
      <c r="V871" t="str">
        <f t="shared" si="40"/>
        <v>mwc</v>
      </c>
      <c r="X871">
        <f t="shared" si="41"/>
        <v>1999</v>
      </c>
    </row>
    <row r="872" spans="1:24">
      <c r="A872" t="s">
        <v>1415</v>
      </c>
      <c r="B872">
        <v>7</v>
      </c>
      <c r="C872" s="1">
        <v>36326.862500000003</v>
      </c>
      <c r="D872">
        <v>0</v>
      </c>
      <c r="E872">
        <v>7</v>
      </c>
      <c r="G872">
        <v>0</v>
      </c>
      <c r="H872">
        <v>754</v>
      </c>
      <c r="I872" t="s">
        <v>46</v>
      </c>
      <c r="J872">
        <v>0</v>
      </c>
      <c r="K872">
        <v>0</v>
      </c>
      <c r="L872">
        <v>0</v>
      </c>
      <c r="M872" t="s">
        <v>13</v>
      </c>
      <c r="N872">
        <v>70</v>
      </c>
      <c r="O872">
        <v>18.385999999999999</v>
      </c>
      <c r="P872">
        <v>-97.436000000000007</v>
      </c>
      <c r="Q872" t="s">
        <v>1416</v>
      </c>
      <c r="R872" t="s">
        <v>139</v>
      </c>
      <c r="S872" t="s">
        <v>140</v>
      </c>
      <c r="U872" t="str">
        <f t="shared" si="39"/>
        <v>N km direction of city</v>
      </c>
      <c r="V872" t="str">
        <f t="shared" si="40"/>
        <v>mwc</v>
      </c>
      <c r="X872">
        <f t="shared" si="41"/>
        <v>1999</v>
      </c>
    </row>
    <row r="873" spans="1:24">
      <c r="A873" t="s">
        <v>1417</v>
      </c>
      <c r="B873">
        <v>6.6</v>
      </c>
      <c r="C873" s="1">
        <v>36297.421527777777</v>
      </c>
      <c r="D873">
        <v>0</v>
      </c>
      <c r="E873">
        <v>5</v>
      </c>
      <c r="G873">
        <v>0</v>
      </c>
      <c r="H873">
        <v>670</v>
      </c>
      <c r="I873" t="s">
        <v>46</v>
      </c>
      <c r="J873">
        <v>0</v>
      </c>
      <c r="K873">
        <v>0</v>
      </c>
      <c r="L873">
        <v>0</v>
      </c>
      <c r="M873" t="s">
        <v>13</v>
      </c>
      <c r="N873">
        <v>27</v>
      </c>
      <c r="O873">
        <v>-5.165</v>
      </c>
      <c r="P873">
        <v>152.87700000000001</v>
      </c>
      <c r="Q873" t="s">
        <v>434</v>
      </c>
      <c r="S873" t="s">
        <v>89</v>
      </c>
      <c r="U873" t="str">
        <f t="shared" si="39"/>
        <v>N km direction of city</v>
      </c>
      <c r="V873" t="str">
        <f t="shared" si="40"/>
        <v>mwc</v>
      </c>
      <c r="X873">
        <f t="shared" si="41"/>
        <v>1999</v>
      </c>
    </row>
    <row r="874" spans="1:24">
      <c r="A874" t="s">
        <v>1418</v>
      </c>
      <c r="B874">
        <v>7.1</v>
      </c>
      <c r="C874" s="1">
        <v>36296.035416666673</v>
      </c>
      <c r="D874">
        <v>0</v>
      </c>
      <c r="E874">
        <v>7</v>
      </c>
      <c r="G874">
        <v>0</v>
      </c>
      <c r="H874">
        <v>776</v>
      </c>
      <c r="I874" t="s">
        <v>46</v>
      </c>
      <c r="J874">
        <v>0</v>
      </c>
      <c r="K874">
        <v>0</v>
      </c>
      <c r="L874">
        <v>0</v>
      </c>
      <c r="M874" t="s">
        <v>13</v>
      </c>
      <c r="N874">
        <v>73.7</v>
      </c>
      <c r="O874">
        <v>-4.7510000000000003</v>
      </c>
      <c r="P874">
        <v>152.48599999999999</v>
      </c>
      <c r="Q874" t="s">
        <v>434</v>
      </c>
      <c r="S874" t="s">
        <v>89</v>
      </c>
      <c r="U874" t="str">
        <f t="shared" si="39"/>
        <v>N km direction of city</v>
      </c>
      <c r="V874" t="str">
        <f t="shared" si="40"/>
        <v>mwc</v>
      </c>
      <c r="X874">
        <f t="shared" si="41"/>
        <v>1999</v>
      </c>
    </row>
    <row r="875" spans="1:24">
      <c r="A875" t="s">
        <v>1419</v>
      </c>
      <c r="B875">
        <v>7.1</v>
      </c>
      <c r="C875" s="1">
        <v>36290.856249999997</v>
      </c>
      <c r="D875">
        <v>0</v>
      </c>
      <c r="E875">
        <v>7</v>
      </c>
      <c r="G875">
        <v>0</v>
      </c>
      <c r="H875">
        <v>776</v>
      </c>
      <c r="I875" t="s">
        <v>46</v>
      </c>
      <c r="J875">
        <v>0</v>
      </c>
      <c r="K875">
        <v>0</v>
      </c>
      <c r="L875">
        <v>0</v>
      </c>
      <c r="M875" t="s">
        <v>12</v>
      </c>
      <c r="N875">
        <v>138</v>
      </c>
      <c r="O875">
        <v>-5.1589999999999998</v>
      </c>
      <c r="P875">
        <v>150.88</v>
      </c>
      <c r="Q875" t="s">
        <v>103</v>
      </c>
      <c r="S875" t="s">
        <v>89</v>
      </c>
      <c r="U875" t="str">
        <f t="shared" si="39"/>
        <v>N km direction of city</v>
      </c>
      <c r="V875" t="str">
        <f t="shared" si="40"/>
        <v>mwb</v>
      </c>
      <c r="X875">
        <f t="shared" si="41"/>
        <v>1999</v>
      </c>
    </row>
    <row r="876" spans="1:24">
      <c r="A876" t="s">
        <v>1420</v>
      </c>
      <c r="B876">
        <v>6.8</v>
      </c>
      <c r="C876" s="1">
        <v>36263.443055555559</v>
      </c>
      <c r="D876">
        <v>0</v>
      </c>
      <c r="E876">
        <v>5</v>
      </c>
      <c r="G876">
        <v>0</v>
      </c>
      <c r="H876">
        <v>711</v>
      </c>
      <c r="I876" t="s">
        <v>46</v>
      </c>
      <c r="J876">
        <v>0</v>
      </c>
      <c r="K876">
        <v>0</v>
      </c>
      <c r="L876">
        <v>0</v>
      </c>
      <c r="M876" t="s">
        <v>13</v>
      </c>
      <c r="N876">
        <v>164.2</v>
      </c>
      <c r="O876">
        <v>-21.422000000000001</v>
      </c>
      <c r="P876">
        <v>-176.46</v>
      </c>
      <c r="Q876" t="s">
        <v>245</v>
      </c>
      <c r="U876" t="str">
        <f t="shared" si="39"/>
        <v>N km direction of city</v>
      </c>
      <c r="V876" t="str">
        <f t="shared" si="40"/>
        <v>mwc</v>
      </c>
      <c r="X876">
        <f t="shared" si="41"/>
        <v>1999</v>
      </c>
    </row>
    <row r="877" spans="1:24">
      <c r="A877" t="s">
        <v>1421</v>
      </c>
      <c r="B877">
        <v>7.4</v>
      </c>
      <c r="C877" s="1">
        <v>36255.463888888888</v>
      </c>
      <c r="D877">
        <v>0</v>
      </c>
      <c r="E877">
        <v>7</v>
      </c>
      <c r="G877">
        <v>0</v>
      </c>
      <c r="H877">
        <v>842</v>
      </c>
      <c r="I877" t="s">
        <v>46</v>
      </c>
      <c r="J877">
        <v>0</v>
      </c>
      <c r="K877">
        <v>0</v>
      </c>
      <c r="L877">
        <v>0</v>
      </c>
      <c r="M877" t="s">
        <v>13</v>
      </c>
      <c r="N877">
        <v>150</v>
      </c>
      <c r="O877">
        <v>-5.5910000000000002</v>
      </c>
      <c r="P877">
        <v>149.56800000000001</v>
      </c>
      <c r="Q877" t="s">
        <v>103</v>
      </c>
      <c r="S877" t="s">
        <v>89</v>
      </c>
      <c r="U877" t="str">
        <f t="shared" si="39"/>
        <v>N km direction of city</v>
      </c>
      <c r="V877" t="str">
        <f t="shared" si="40"/>
        <v>mwc</v>
      </c>
      <c r="X877">
        <f t="shared" si="41"/>
        <v>1999</v>
      </c>
    </row>
    <row r="878" spans="1:24">
      <c r="A878" t="s">
        <v>1422</v>
      </c>
      <c r="B878">
        <v>6.8</v>
      </c>
      <c r="C878" s="1">
        <v>36253.261805555558</v>
      </c>
      <c r="D878">
        <v>0</v>
      </c>
      <c r="E878">
        <v>7</v>
      </c>
      <c r="G878">
        <v>0</v>
      </c>
      <c r="H878">
        <v>711</v>
      </c>
      <c r="I878" t="s">
        <v>46</v>
      </c>
      <c r="J878">
        <v>0</v>
      </c>
      <c r="K878">
        <v>0</v>
      </c>
      <c r="L878">
        <v>0</v>
      </c>
      <c r="M878" t="s">
        <v>13</v>
      </c>
      <c r="N878">
        <v>87.2</v>
      </c>
      <c r="O878">
        <v>-16.66</v>
      </c>
      <c r="P878">
        <v>-72.662000000000006</v>
      </c>
      <c r="Q878" t="s">
        <v>1423</v>
      </c>
      <c r="R878" t="s">
        <v>53</v>
      </c>
      <c r="S878" t="s">
        <v>164</v>
      </c>
      <c r="U878" t="str">
        <f t="shared" si="39"/>
        <v>N km direction of city</v>
      </c>
      <c r="V878" t="str">
        <f t="shared" si="40"/>
        <v>mwc</v>
      </c>
      <c r="X878">
        <f t="shared" si="41"/>
        <v>1999</v>
      </c>
    </row>
    <row r="879" spans="1:24">
      <c r="A879" t="s">
        <v>1424</v>
      </c>
      <c r="B879">
        <v>6.6</v>
      </c>
      <c r="C879" s="1">
        <v>36247.795138888891</v>
      </c>
      <c r="D879">
        <v>0</v>
      </c>
      <c r="E879">
        <v>7</v>
      </c>
      <c r="G879">
        <v>0</v>
      </c>
      <c r="H879">
        <v>670</v>
      </c>
      <c r="I879" t="s">
        <v>46</v>
      </c>
      <c r="J879">
        <v>0</v>
      </c>
      <c r="K879">
        <v>0</v>
      </c>
      <c r="L879">
        <v>0</v>
      </c>
      <c r="M879" t="s">
        <v>12</v>
      </c>
      <c r="N879">
        <v>15</v>
      </c>
      <c r="O879">
        <v>30.512</v>
      </c>
      <c r="P879">
        <v>79.403000000000006</v>
      </c>
      <c r="Q879" t="s">
        <v>1425</v>
      </c>
      <c r="R879" t="s">
        <v>85</v>
      </c>
      <c r="S879" t="s">
        <v>584</v>
      </c>
      <c r="U879" t="str">
        <f t="shared" si="39"/>
        <v>N km direction of city</v>
      </c>
      <c r="V879" t="str">
        <f t="shared" si="40"/>
        <v>mwb</v>
      </c>
      <c r="X879">
        <f t="shared" si="41"/>
        <v>1999</v>
      </c>
    </row>
    <row r="880" spans="1:24">
      <c r="A880" t="s">
        <v>1426</v>
      </c>
      <c r="B880">
        <v>6.9</v>
      </c>
      <c r="C880" s="1">
        <v>36239.449305555558</v>
      </c>
      <c r="D880">
        <v>0</v>
      </c>
      <c r="E880">
        <v>6</v>
      </c>
      <c r="G880">
        <v>0</v>
      </c>
      <c r="H880">
        <v>732</v>
      </c>
      <c r="I880" t="s">
        <v>46</v>
      </c>
      <c r="J880">
        <v>0</v>
      </c>
      <c r="K880">
        <v>0</v>
      </c>
      <c r="L880">
        <v>0</v>
      </c>
      <c r="M880" t="s">
        <v>13</v>
      </c>
      <c r="N880">
        <v>33</v>
      </c>
      <c r="O880">
        <v>51.587000000000003</v>
      </c>
      <c r="P880">
        <v>-177.66800000000001</v>
      </c>
      <c r="Q880" t="s">
        <v>423</v>
      </c>
      <c r="R880" t="s">
        <v>139</v>
      </c>
      <c r="S880" t="s">
        <v>204</v>
      </c>
      <c r="U880" t="str">
        <f t="shared" si="39"/>
        <v>N km direction of city</v>
      </c>
      <c r="V880" t="str">
        <f t="shared" si="40"/>
        <v>mwc</v>
      </c>
      <c r="X880">
        <f t="shared" si="41"/>
        <v>1999</v>
      </c>
    </row>
    <row r="881" spans="1:24">
      <c r="A881" t="s">
        <v>1427</v>
      </c>
      <c r="B881">
        <v>6.9</v>
      </c>
      <c r="C881" s="1">
        <v>36227.517361111109</v>
      </c>
      <c r="D881">
        <v>0</v>
      </c>
      <c r="E881">
        <v>5</v>
      </c>
      <c r="G881">
        <v>0</v>
      </c>
      <c r="H881">
        <v>732</v>
      </c>
      <c r="I881" t="s">
        <v>46</v>
      </c>
      <c r="J881">
        <v>0</v>
      </c>
      <c r="K881">
        <v>0</v>
      </c>
      <c r="L881">
        <v>0</v>
      </c>
      <c r="M881" t="s">
        <v>13</v>
      </c>
      <c r="N881">
        <v>56.6</v>
      </c>
      <c r="O881">
        <v>52.055999999999997</v>
      </c>
      <c r="P881">
        <v>159.52000000000001</v>
      </c>
      <c r="Q881" t="s">
        <v>1428</v>
      </c>
      <c r="U881" t="str">
        <f t="shared" si="39"/>
        <v>N km direction of city</v>
      </c>
      <c r="V881" t="str">
        <f t="shared" si="40"/>
        <v>mwc</v>
      </c>
      <c r="X881">
        <f t="shared" si="41"/>
        <v>1999</v>
      </c>
    </row>
    <row r="882" spans="1:24">
      <c r="A882" t="s">
        <v>1429</v>
      </c>
      <c r="B882">
        <v>7.1</v>
      </c>
      <c r="C882" s="1">
        <v>36223.369444444441</v>
      </c>
      <c r="D882">
        <v>0</v>
      </c>
      <c r="E882">
        <v>6</v>
      </c>
      <c r="G882">
        <v>0</v>
      </c>
      <c r="H882">
        <v>776</v>
      </c>
      <c r="I882" t="s">
        <v>46</v>
      </c>
      <c r="J882">
        <v>0</v>
      </c>
      <c r="K882">
        <v>0</v>
      </c>
      <c r="L882">
        <v>0</v>
      </c>
      <c r="M882" t="s">
        <v>13</v>
      </c>
      <c r="N882">
        <v>33</v>
      </c>
      <c r="O882">
        <v>5.3970000000000002</v>
      </c>
      <c r="P882">
        <v>121.937</v>
      </c>
      <c r="Q882" t="s">
        <v>509</v>
      </c>
      <c r="U882" t="str">
        <f t="shared" si="39"/>
        <v>N km direction of city</v>
      </c>
      <c r="V882" t="str">
        <f t="shared" si="40"/>
        <v>mwc</v>
      </c>
      <c r="X882">
        <f t="shared" si="41"/>
        <v>1999</v>
      </c>
    </row>
    <row r="883" spans="1:24">
      <c r="A883" t="s">
        <v>1430</v>
      </c>
      <c r="B883">
        <v>6.6</v>
      </c>
      <c r="C883" s="1">
        <v>36223.234722222223</v>
      </c>
      <c r="D883">
        <v>0</v>
      </c>
      <c r="E883">
        <v>7</v>
      </c>
      <c r="G883">
        <v>0</v>
      </c>
      <c r="H883">
        <v>670</v>
      </c>
      <c r="I883" t="s">
        <v>46</v>
      </c>
      <c r="J883">
        <v>0</v>
      </c>
      <c r="K883">
        <v>0</v>
      </c>
      <c r="L883">
        <v>0</v>
      </c>
      <c r="M883" t="s">
        <v>13</v>
      </c>
      <c r="N883">
        <v>33</v>
      </c>
      <c r="O883">
        <v>28.343</v>
      </c>
      <c r="P883">
        <v>57.192999999999998</v>
      </c>
      <c r="Q883" t="s">
        <v>1431</v>
      </c>
      <c r="R883" t="s">
        <v>85</v>
      </c>
      <c r="S883" t="s">
        <v>457</v>
      </c>
      <c r="U883" t="str">
        <f t="shared" si="39"/>
        <v>N km direction of city</v>
      </c>
      <c r="V883" t="str">
        <f t="shared" si="40"/>
        <v>mwc</v>
      </c>
      <c r="X883">
        <f t="shared" si="41"/>
        <v>1999</v>
      </c>
    </row>
    <row r="884" spans="1:24">
      <c r="A884" t="s">
        <v>1432</v>
      </c>
      <c r="B884">
        <v>7.3</v>
      </c>
      <c r="C884" s="1">
        <v>36197.907638888893</v>
      </c>
      <c r="D884">
        <v>0</v>
      </c>
      <c r="E884">
        <v>7</v>
      </c>
      <c r="G884">
        <v>0</v>
      </c>
      <c r="H884">
        <v>820</v>
      </c>
      <c r="I884" t="s">
        <v>46</v>
      </c>
      <c r="J884">
        <v>0</v>
      </c>
      <c r="K884">
        <v>0</v>
      </c>
      <c r="L884">
        <v>0</v>
      </c>
      <c r="M884" t="s">
        <v>13</v>
      </c>
      <c r="N884">
        <v>90.1</v>
      </c>
      <c r="O884">
        <v>-12.853</v>
      </c>
      <c r="P884">
        <v>166.697</v>
      </c>
      <c r="Q884" t="s">
        <v>47</v>
      </c>
      <c r="U884" t="str">
        <f t="shared" si="39"/>
        <v>N km direction of city</v>
      </c>
      <c r="V884" t="str">
        <f t="shared" si="40"/>
        <v>mwc</v>
      </c>
      <c r="X884">
        <f t="shared" si="41"/>
        <v>1999</v>
      </c>
    </row>
    <row r="885" spans="1:24">
      <c r="A885" t="s">
        <v>1433</v>
      </c>
      <c r="B885">
        <v>6.6</v>
      </c>
      <c r="C885" s="1">
        <v>36188.340277777781</v>
      </c>
      <c r="D885">
        <v>0</v>
      </c>
      <c r="E885">
        <v>6</v>
      </c>
      <c r="G885">
        <v>0</v>
      </c>
      <c r="H885">
        <v>670</v>
      </c>
      <c r="I885" t="s">
        <v>46</v>
      </c>
      <c r="J885">
        <v>0</v>
      </c>
      <c r="K885">
        <v>0</v>
      </c>
      <c r="L885">
        <v>0</v>
      </c>
      <c r="M885" t="s">
        <v>13</v>
      </c>
      <c r="N885">
        <v>67.2</v>
      </c>
      <c r="O885">
        <v>52.886000000000003</v>
      </c>
      <c r="P885">
        <v>-169.12299999999999</v>
      </c>
      <c r="Q885" t="s">
        <v>185</v>
      </c>
      <c r="R885" t="s">
        <v>139</v>
      </c>
      <c r="S885" t="s">
        <v>204</v>
      </c>
      <c r="U885" t="str">
        <f t="shared" si="39"/>
        <v>N km direction of city</v>
      </c>
      <c r="V885" t="str">
        <f t="shared" si="40"/>
        <v>mwc</v>
      </c>
      <c r="X885">
        <f t="shared" si="41"/>
        <v>1999</v>
      </c>
    </row>
    <row r="886" spans="1:24">
      <c r="A886" t="s">
        <v>1434</v>
      </c>
      <c r="B886">
        <v>7</v>
      </c>
      <c r="C886" s="1">
        <v>36179.149305555547</v>
      </c>
      <c r="D886">
        <v>0</v>
      </c>
      <c r="E886">
        <v>7</v>
      </c>
      <c r="G886">
        <v>0</v>
      </c>
      <c r="H886">
        <v>754</v>
      </c>
      <c r="I886" t="s">
        <v>46</v>
      </c>
      <c r="J886">
        <v>0</v>
      </c>
      <c r="K886">
        <v>0</v>
      </c>
      <c r="L886">
        <v>0</v>
      </c>
      <c r="M886" t="s">
        <v>13</v>
      </c>
      <c r="N886">
        <v>114.1</v>
      </c>
      <c r="O886">
        <v>-4.5960000000000001</v>
      </c>
      <c r="P886">
        <v>153.23500000000001</v>
      </c>
      <c r="Q886" t="s">
        <v>434</v>
      </c>
      <c r="S886" t="s">
        <v>89</v>
      </c>
      <c r="U886" t="str">
        <f t="shared" si="39"/>
        <v>N km direction of city</v>
      </c>
      <c r="V886" t="str">
        <f t="shared" si="40"/>
        <v>mwc</v>
      </c>
      <c r="X886">
        <f t="shared" si="41"/>
        <v>1999</v>
      </c>
    </row>
    <row r="887" spans="1:24">
      <c r="A887" t="s">
        <v>1435</v>
      </c>
      <c r="B887">
        <v>6.8</v>
      </c>
      <c r="C887" s="1">
        <v>36156.026388888888</v>
      </c>
      <c r="D887">
        <v>0</v>
      </c>
      <c r="E887">
        <v>5</v>
      </c>
      <c r="G887">
        <v>0</v>
      </c>
      <c r="H887">
        <v>711</v>
      </c>
      <c r="I887" t="s">
        <v>46</v>
      </c>
      <c r="J887">
        <v>0</v>
      </c>
      <c r="K887">
        <v>0</v>
      </c>
      <c r="L887">
        <v>0</v>
      </c>
      <c r="M887" t="s">
        <v>13</v>
      </c>
      <c r="N887">
        <v>144.30000000000001</v>
      </c>
      <c r="O887">
        <v>-21.632000000000001</v>
      </c>
      <c r="P887">
        <v>-176.376</v>
      </c>
      <c r="Q887" t="s">
        <v>245</v>
      </c>
      <c r="U887" t="str">
        <f t="shared" si="39"/>
        <v>N km direction of city</v>
      </c>
      <c r="V887" t="str">
        <f t="shared" si="40"/>
        <v>mwc</v>
      </c>
      <c r="X887">
        <f t="shared" si="41"/>
        <v>1998</v>
      </c>
    </row>
    <row r="888" spans="1:24">
      <c r="A888" t="s">
        <v>1436</v>
      </c>
      <c r="B888">
        <v>7.7</v>
      </c>
      <c r="C888" s="1">
        <v>36128.590277777781</v>
      </c>
      <c r="D888">
        <v>0</v>
      </c>
      <c r="E888">
        <v>7</v>
      </c>
      <c r="G888">
        <v>0</v>
      </c>
      <c r="H888">
        <v>912</v>
      </c>
      <c r="I888" t="s">
        <v>46</v>
      </c>
      <c r="J888">
        <v>0</v>
      </c>
      <c r="K888">
        <v>0</v>
      </c>
      <c r="L888">
        <v>0</v>
      </c>
      <c r="M888" t="s">
        <v>13</v>
      </c>
      <c r="N888">
        <v>33</v>
      </c>
      <c r="O888">
        <v>-2.0710000000000002</v>
      </c>
      <c r="P888">
        <v>124.89100000000001</v>
      </c>
      <c r="Q888" t="s">
        <v>362</v>
      </c>
      <c r="S888" t="s">
        <v>77</v>
      </c>
      <c r="U888" t="str">
        <f t="shared" si="39"/>
        <v>N km direction of city</v>
      </c>
      <c r="V888" t="str">
        <f t="shared" si="40"/>
        <v>mwc</v>
      </c>
      <c r="X888">
        <f t="shared" si="41"/>
        <v>1998</v>
      </c>
    </row>
    <row r="889" spans="1:24">
      <c r="A889" t="s">
        <v>1437</v>
      </c>
      <c r="B889">
        <v>7</v>
      </c>
      <c r="C889" s="1">
        <v>36108.234722222223</v>
      </c>
      <c r="D889">
        <v>0</v>
      </c>
      <c r="E889">
        <v>7</v>
      </c>
      <c r="G889">
        <v>0</v>
      </c>
      <c r="H889">
        <v>754</v>
      </c>
      <c r="I889" t="s">
        <v>46</v>
      </c>
      <c r="J889">
        <v>0</v>
      </c>
      <c r="K889">
        <v>0</v>
      </c>
      <c r="L889">
        <v>0</v>
      </c>
      <c r="M889" t="s">
        <v>13</v>
      </c>
      <c r="N889">
        <v>33</v>
      </c>
      <c r="O889">
        <v>-6.92</v>
      </c>
      <c r="P889">
        <v>128.946</v>
      </c>
      <c r="Q889" t="s">
        <v>195</v>
      </c>
      <c r="S889" t="s">
        <v>77</v>
      </c>
      <c r="U889" t="str">
        <f t="shared" si="39"/>
        <v>N km direction of city</v>
      </c>
      <c r="V889" t="str">
        <f t="shared" si="40"/>
        <v>mwc</v>
      </c>
      <c r="X889">
        <f t="shared" si="41"/>
        <v>1998</v>
      </c>
    </row>
    <row r="890" spans="1:24">
      <c r="A890" t="s">
        <v>1438</v>
      </c>
      <c r="B890">
        <v>6.7</v>
      </c>
      <c r="C890" s="1">
        <v>36108.229166666657</v>
      </c>
      <c r="D890">
        <v>0</v>
      </c>
      <c r="E890">
        <v>6</v>
      </c>
      <c r="G890">
        <v>0</v>
      </c>
      <c r="H890">
        <v>691</v>
      </c>
      <c r="I890" t="s">
        <v>46</v>
      </c>
      <c r="J890">
        <v>0</v>
      </c>
      <c r="K890">
        <v>0</v>
      </c>
      <c r="L890">
        <v>0</v>
      </c>
      <c r="M890" t="s">
        <v>13</v>
      </c>
      <c r="N890">
        <v>33</v>
      </c>
      <c r="O890">
        <v>-6.9539999999999997</v>
      </c>
      <c r="P890">
        <v>129.02199999999999</v>
      </c>
      <c r="Q890" t="s">
        <v>195</v>
      </c>
      <c r="S890" t="s">
        <v>77</v>
      </c>
      <c r="U890" t="str">
        <f t="shared" si="39"/>
        <v>N km direction of city</v>
      </c>
      <c r="V890" t="str">
        <f t="shared" si="40"/>
        <v>mwc</v>
      </c>
      <c r="X890">
        <f t="shared" si="41"/>
        <v>1998</v>
      </c>
    </row>
    <row r="891" spans="1:24">
      <c r="A891" t="s">
        <v>1439</v>
      </c>
      <c r="B891">
        <v>6.6</v>
      </c>
      <c r="C891" s="1">
        <v>36066.56527777778</v>
      </c>
      <c r="D891">
        <v>0</v>
      </c>
      <c r="E891">
        <v>5</v>
      </c>
      <c r="G891">
        <v>0</v>
      </c>
      <c r="H891">
        <v>670</v>
      </c>
      <c r="I891" t="s">
        <v>46</v>
      </c>
      <c r="J891">
        <v>0</v>
      </c>
      <c r="K891">
        <v>0</v>
      </c>
      <c r="L891">
        <v>0</v>
      </c>
      <c r="M891" t="s">
        <v>12</v>
      </c>
      <c r="N891">
        <v>151.6</v>
      </c>
      <c r="O891">
        <v>-8.1940000000000008</v>
      </c>
      <c r="P891">
        <v>112.413</v>
      </c>
      <c r="Q891" t="s">
        <v>1440</v>
      </c>
      <c r="S891" t="s">
        <v>77</v>
      </c>
      <c r="U891" t="str">
        <f t="shared" si="39"/>
        <v>N km direction of city</v>
      </c>
      <c r="V891" t="str">
        <f t="shared" si="40"/>
        <v>mwb</v>
      </c>
      <c r="X891">
        <f t="shared" si="41"/>
        <v>1998</v>
      </c>
    </row>
    <row r="892" spans="1:24">
      <c r="A892" t="s">
        <v>1441</v>
      </c>
      <c r="B892">
        <v>6.6</v>
      </c>
      <c r="C892" s="1">
        <v>36041.734027777777</v>
      </c>
      <c r="D892">
        <v>0</v>
      </c>
      <c r="E892">
        <v>6</v>
      </c>
      <c r="G892">
        <v>0</v>
      </c>
      <c r="H892">
        <v>670</v>
      </c>
      <c r="I892" t="s">
        <v>46</v>
      </c>
      <c r="J892">
        <v>0</v>
      </c>
      <c r="K892">
        <v>0</v>
      </c>
      <c r="L892">
        <v>0</v>
      </c>
      <c r="M892" t="s">
        <v>13</v>
      </c>
      <c r="N892">
        <v>27</v>
      </c>
      <c r="O892">
        <v>-29.45</v>
      </c>
      <c r="P892">
        <v>-71.715000000000003</v>
      </c>
      <c r="Q892" t="s">
        <v>372</v>
      </c>
      <c r="S892" t="s">
        <v>275</v>
      </c>
      <c r="U892" t="str">
        <f t="shared" si="39"/>
        <v>N km direction of city</v>
      </c>
      <c r="V892" t="str">
        <f t="shared" si="40"/>
        <v>mwc</v>
      </c>
      <c r="X892">
        <f t="shared" si="41"/>
        <v>1998</v>
      </c>
    </row>
    <row r="893" spans="1:24">
      <c r="A893" t="s">
        <v>1442</v>
      </c>
      <c r="B893">
        <v>6.8</v>
      </c>
      <c r="C893" s="1">
        <v>36040.359027777777</v>
      </c>
      <c r="D893">
        <v>0</v>
      </c>
      <c r="E893">
        <v>5</v>
      </c>
      <c r="G893">
        <v>0</v>
      </c>
      <c r="H893">
        <v>711</v>
      </c>
      <c r="I893" t="s">
        <v>46</v>
      </c>
      <c r="J893">
        <v>0</v>
      </c>
      <c r="K893">
        <v>0</v>
      </c>
      <c r="L893">
        <v>0</v>
      </c>
      <c r="M893" t="s">
        <v>13</v>
      </c>
      <c r="N893">
        <v>50</v>
      </c>
      <c r="O893">
        <v>5.41</v>
      </c>
      <c r="P893">
        <v>126.764</v>
      </c>
      <c r="Q893" t="s">
        <v>227</v>
      </c>
      <c r="S893" t="s">
        <v>77</v>
      </c>
      <c r="U893" t="str">
        <f t="shared" si="39"/>
        <v>N km direction of city</v>
      </c>
      <c r="V893" t="str">
        <f t="shared" si="40"/>
        <v>mwc</v>
      </c>
      <c r="X893">
        <f t="shared" si="41"/>
        <v>1998</v>
      </c>
    </row>
    <row r="894" spans="1:24">
      <c r="A894" t="s">
        <v>1443</v>
      </c>
      <c r="B894">
        <v>7.2</v>
      </c>
      <c r="C894" s="1">
        <v>36011.790972222218</v>
      </c>
      <c r="D894">
        <v>0</v>
      </c>
      <c r="E894">
        <v>7</v>
      </c>
      <c r="G894">
        <v>0</v>
      </c>
      <c r="H894">
        <v>798</v>
      </c>
      <c r="I894" t="s">
        <v>46</v>
      </c>
      <c r="J894">
        <v>0</v>
      </c>
      <c r="K894">
        <v>0</v>
      </c>
      <c r="L894">
        <v>0</v>
      </c>
      <c r="M894" t="s">
        <v>13</v>
      </c>
      <c r="N894">
        <v>33</v>
      </c>
      <c r="O894">
        <v>-0.59299999999999997</v>
      </c>
      <c r="P894">
        <v>-80.393000000000001</v>
      </c>
      <c r="Q894" t="s">
        <v>1444</v>
      </c>
      <c r="R894" t="s">
        <v>53</v>
      </c>
      <c r="S894" t="s">
        <v>96</v>
      </c>
      <c r="U894" t="str">
        <f t="shared" si="39"/>
        <v>N km direction of city</v>
      </c>
      <c r="V894" t="str">
        <f t="shared" si="40"/>
        <v>mwc</v>
      </c>
      <c r="X894">
        <f t="shared" si="41"/>
        <v>1998</v>
      </c>
    </row>
    <row r="895" spans="1:24">
      <c r="A895" t="s">
        <v>1445</v>
      </c>
      <c r="B895">
        <v>6.7</v>
      </c>
      <c r="C895" s="1">
        <v>36005.75</v>
      </c>
      <c r="D895">
        <v>0</v>
      </c>
      <c r="E895">
        <v>6</v>
      </c>
      <c r="G895">
        <v>0</v>
      </c>
      <c r="H895">
        <v>691</v>
      </c>
      <c r="I895" t="s">
        <v>46</v>
      </c>
      <c r="J895">
        <v>0</v>
      </c>
      <c r="K895">
        <v>0</v>
      </c>
      <c r="L895">
        <v>0</v>
      </c>
      <c r="M895" t="s">
        <v>13</v>
      </c>
      <c r="N895">
        <v>33</v>
      </c>
      <c r="O895">
        <v>-2.6930000000000001</v>
      </c>
      <c r="P895">
        <v>138.90100000000001</v>
      </c>
      <c r="Q895" t="s">
        <v>624</v>
      </c>
      <c r="S895" t="s">
        <v>77</v>
      </c>
      <c r="U895" t="str">
        <f t="shared" si="39"/>
        <v>N km direction of city</v>
      </c>
      <c r="V895" t="str">
        <f t="shared" si="40"/>
        <v>mwc</v>
      </c>
      <c r="X895">
        <f t="shared" si="41"/>
        <v>1998</v>
      </c>
    </row>
    <row r="896" spans="1:24">
      <c r="A896" t="s">
        <v>1446</v>
      </c>
      <c r="B896">
        <v>7</v>
      </c>
      <c r="C896" s="1">
        <v>35993.367361111108</v>
      </c>
      <c r="D896">
        <v>0</v>
      </c>
      <c r="E896">
        <v>7</v>
      </c>
      <c r="G896">
        <v>0</v>
      </c>
      <c r="H896">
        <v>754</v>
      </c>
      <c r="I896" t="s">
        <v>46</v>
      </c>
      <c r="J896">
        <v>0</v>
      </c>
      <c r="K896">
        <v>0</v>
      </c>
      <c r="L896">
        <v>0</v>
      </c>
      <c r="M896" t="s">
        <v>13</v>
      </c>
      <c r="N896">
        <v>10</v>
      </c>
      <c r="O896">
        <v>-2.9609999999999999</v>
      </c>
      <c r="P896">
        <v>141.92599999999999</v>
      </c>
      <c r="Q896" t="s">
        <v>776</v>
      </c>
      <c r="S896" t="s">
        <v>89</v>
      </c>
      <c r="U896" t="str">
        <f t="shared" si="39"/>
        <v>N km direction of city</v>
      </c>
      <c r="V896" t="str">
        <f t="shared" si="40"/>
        <v>mwc</v>
      </c>
      <c r="X896">
        <f t="shared" si="41"/>
        <v>1998</v>
      </c>
    </row>
    <row r="897" spans="1:24">
      <c r="A897" t="s">
        <v>1447</v>
      </c>
      <c r="B897">
        <v>7</v>
      </c>
      <c r="C897" s="1">
        <v>35992.49722222222</v>
      </c>
      <c r="D897">
        <v>0</v>
      </c>
      <c r="E897">
        <v>7</v>
      </c>
      <c r="G897">
        <v>0</v>
      </c>
      <c r="H897">
        <v>754</v>
      </c>
      <c r="I897" t="s">
        <v>46</v>
      </c>
      <c r="J897">
        <v>0</v>
      </c>
      <c r="K897">
        <v>0</v>
      </c>
      <c r="L897">
        <v>0</v>
      </c>
      <c r="M897" t="s">
        <v>13</v>
      </c>
      <c r="N897">
        <v>110.2</v>
      </c>
      <c r="O897">
        <v>-11.04</v>
      </c>
      <c r="P897">
        <v>166.16</v>
      </c>
      <c r="Q897" t="s">
        <v>299</v>
      </c>
      <c r="S897" t="s">
        <v>124</v>
      </c>
      <c r="U897" t="str">
        <f t="shared" si="39"/>
        <v>N km direction of city</v>
      </c>
      <c r="V897" t="str">
        <f t="shared" si="40"/>
        <v>mwc</v>
      </c>
      <c r="X897">
        <f t="shared" si="41"/>
        <v>1998</v>
      </c>
    </row>
    <row r="898" spans="1:24">
      <c r="A898" t="s">
        <v>1448</v>
      </c>
      <c r="B898">
        <v>6.6</v>
      </c>
      <c r="C898" s="1">
        <v>35945.265277777777</v>
      </c>
      <c r="D898">
        <v>0</v>
      </c>
      <c r="E898">
        <v>6</v>
      </c>
      <c r="G898">
        <v>0</v>
      </c>
      <c r="H898">
        <v>670</v>
      </c>
      <c r="I898" t="s">
        <v>46</v>
      </c>
      <c r="J898">
        <v>0</v>
      </c>
      <c r="K898">
        <v>0</v>
      </c>
      <c r="L898">
        <v>0</v>
      </c>
      <c r="M898" t="s">
        <v>12</v>
      </c>
      <c r="N898">
        <v>33</v>
      </c>
      <c r="O898">
        <v>37.106000000000002</v>
      </c>
      <c r="P898">
        <v>70.11</v>
      </c>
      <c r="Q898" t="s">
        <v>1449</v>
      </c>
      <c r="R898" t="s">
        <v>85</v>
      </c>
      <c r="S898" t="s">
        <v>94</v>
      </c>
      <c r="U898" t="str">
        <f t="shared" ref="U898:U961" si="42">IF(ISNUMBER(SEARCH("km",A898)),"N km direction of city","Named-region")</f>
        <v>N km direction of city</v>
      </c>
      <c r="V898" t="str">
        <f t="shared" ref="V898:V961" si="43">LOWER(M898)</f>
        <v>mwb</v>
      </c>
      <c r="X898">
        <f t="shared" ref="X898:X961" si="44">YEAR(C898)</f>
        <v>1998</v>
      </c>
    </row>
    <row r="899" spans="1:24">
      <c r="A899" t="s">
        <v>1450</v>
      </c>
      <c r="B899">
        <v>6.6</v>
      </c>
      <c r="C899" s="1">
        <v>35937.199999999997</v>
      </c>
      <c r="D899">
        <v>0</v>
      </c>
      <c r="E899">
        <v>8</v>
      </c>
      <c r="G899">
        <v>0</v>
      </c>
      <c r="H899">
        <v>670</v>
      </c>
      <c r="I899" t="s">
        <v>46</v>
      </c>
      <c r="J899">
        <v>0</v>
      </c>
      <c r="K899">
        <v>0</v>
      </c>
      <c r="L899">
        <v>0</v>
      </c>
      <c r="M899" t="s">
        <v>12</v>
      </c>
      <c r="N899">
        <v>24</v>
      </c>
      <c r="O899">
        <v>-17.731000000000002</v>
      </c>
      <c r="P899">
        <v>-65.430999999999997</v>
      </c>
      <c r="Q899" t="s">
        <v>1451</v>
      </c>
      <c r="R899" t="s">
        <v>53</v>
      </c>
      <c r="S899" t="s">
        <v>430</v>
      </c>
      <c r="U899" t="str">
        <f t="shared" si="42"/>
        <v>N km direction of city</v>
      </c>
      <c r="V899" t="str">
        <f t="shared" si="43"/>
        <v>mwb</v>
      </c>
      <c r="X899">
        <f t="shared" si="44"/>
        <v>1998</v>
      </c>
    </row>
    <row r="900" spans="1:24">
      <c r="A900" t="s">
        <v>1452</v>
      </c>
      <c r="B900">
        <v>6.7</v>
      </c>
      <c r="C900" s="1">
        <v>35936.231944444437</v>
      </c>
      <c r="D900">
        <v>0</v>
      </c>
      <c r="E900">
        <v>6</v>
      </c>
      <c r="G900">
        <v>0</v>
      </c>
      <c r="H900">
        <v>691</v>
      </c>
      <c r="I900" t="s">
        <v>46</v>
      </c>
      <c r="J900">
        <v>0</v>
      </c>
      <c r="K900">
        <v>0</v>
      </c>
      <c r="L900">
        <v>0</v>
      </c>
      <c r="M900" t="s">
        <v>12</v>
      </c>
      <c r="N900">
        <v>33</v>
      </c>
      <c r="O900">
        <v>0.20699999999999999</v>
      </c>
      <c r="P900">
        <v>119.584</v>
      </c>
      <c r="Q900" t="s">
        <v>402</v>
      </c>
      <c r="S900" t="s">
        <v>77</v>
      </c>
      <c r="U900" t="str">
        <f t="shared" si="42"/>
        <v>N km direction of city</v>
      </c>
      <c r="V900" t="str">
        <f t="shared" si="43"/>
        <v>mwb</v>
      </c>
      <c r="X900">
        <f t="shared" si="44"/>
        <v>1998</v>
      </c>
    </row>
    <row r="901" spans="1:24">
      <c r="A901" t="s">
        <v>1453</v>
      </c>
      <c r="B901">
        <v>6.6</v>
      </c>
      <c r="C901" s="1">
        <v>35928.959722222222</v>
      </c>
      <c r="D901">
        <v>0</v>
      </c>
      <c r="E901">
        <v>6</v>
      </c>
      <c r="G901">
        <v>0</v>
      </c>
      <c r="H901">
        <v>670</v>
      </c>
      <c r="I901" t="s">
        <v>46</v>
      </c>
      <c r="J901">
        <v>0</v>
      </c>
      <c r="K901">
        <v>0</v>
      </c>
      <c r="L901">
        <v>0</v>
      </c>
      <c r="M901" t="s">
        <v>13</v>
      </c>
      <c r="N901">
        <v>61.4</v>
      </c>
      <c r="O901">
        <v>-5.1470000000000002</v>
      </c>
      <c r="P901">
        <v>151.714</v>
      </c>
      <c r="Q901" t="s">
        <v>434</v>
      </c>
      <c r="S901" t="s">
        <v>89</v>
      </c>
      <c r="U901" t="str">
        <f t="shared" si="42"/>
        <v>N km direction of city</v>
      </c>
      <c r="V901" t="str">
        <f t="shared" si="43"/>
        <v>mwc</v>
      </c>
      <c r="X901">
        <f t="shared" si="44"/>
        <v>1998</v>
      </c>
    </row>
    <row r="902" spans="1:24">
      <c r="A902" t="s">
        <v>1454</v>
      </c>
      <c r="B902">
        <v>7.5</v>
      </c>
      <c r="C902" s="1">
        <v>35918.979166666657</v>
      </c>
      <c r="D902">
        <v>0</v>
      </c>
      <c r="E902">
        <v>5</v>
      </c>
      <c r="G902">
        <v>0</v>
      </c>
      <c r="H902">
        <v>865</v>
      </c>
      <c r="I902" t="s">
        <v>46</v>
      </c>
      <c r="J902">
        <v>0</v>
      </c>
      <c r="K902">
        <v>0</v>
      </c>
      <c r="L902">
        <v>0</v>
      </c>
      <c r="M902" t="s">
        <v>12</v>
      </c>
      <c r="N902">
        <v>33</v>
      </c>
      <c r="O902">
        <v>22.306000000000001</v>
      </c>
      <c r="P902">
        <v>125.30800000000001</v>
      </c>
      <c r="Q902" t="s">
        <v>1455</v>
      </c>
      <c r="U902" t="str">
        <f t="shared" si="42"/>
        <v>N km direction of city</v>
      </c>
      <c r="V902" t="str">
        <f t="shared" si="43"/>
        <v>mwb</v>
      </c>
      <c r="X902">
        <f t="shared" si="44"/>
        <v>1998</v>
      </c>
    </row>
    <row r="903" spans="1:24">
      <c r="A903" t="s">
        <v>1456</v>
      </c>
      <c r="B903">
        <v>6.6</v>
      </c>
      <c r="C903" s="1">
        <v>35888.917361111111</v>
      </c>
      <c r="D903">
        <v>0</v>
      </c>
      <c r="E903">
        <v>5</v>
      </c>
      <c r="G903">
        <v>0</v>
      </c>
      <c r="H903">
        <v>670</v>
      </c>
      <c r="I903" t="s">
        <v>46</v>
      </c>
      <c r="J903">
        <v>0</v>
      </c>
      <c r="K903">
        <v>0</v>
      </c>
      <c r="L903">
        <v>0</v>
      </c>
      <c r="M903" t="s">
        <v>13</v>
      </c>
      <c r="N903">
        <v>164.6</v>
      </c>
      <c r="O903">
        <v>-8.1479999999999997</v>
      </c>
      <c r="P903">
        <v>-74.238</v>
      </c>
      <c r="Q903" t="s">
        <v>1457</v>
      </c>
      <c r="R903" t="s">
        <v>53</v>
      </c>
      <c r="S903" t="s">
        <v>164</v>
      </c>
      <c r="U903" t="str">
        <f t="shared" si="42"/>
        <v>N km direction of city</v>
      </c>
      <c r="V903" t="str">
        <f t="shared" si="43"/>
        <v>mwc</v>
      </c>
      <c r="X903">
        <f t="shared" si="44"/>
        <v>1998</v>
      </c>
    </row>
    <row r="904" spans="1:24">
      <c r="A904" t="s">
        <v>1458</v>
      </c>
      <c r="B904">
        <v>7</v>
      </c>
      <c r="C904" s="1">
        <v>35886.74722222222</v>
      </c>
      <c r="D904">
        <v>0</v>
      </c>
      <c r="E904">
        <v>6</v>
      </c>
      <c r="G904">
        <v>0</v>
      </c>
      <c r="H904">
        <v>754</v>
      </c>
      <c r="I904" t="s">
        <v>46</v>
      </c>
      <c r="J904">
        <v>0</v>
      </c>
      <c r="K904">
        <v>0</v>
      </c>
      <c r="L904">
        <v>0</v>
      </c>
      <c r="M904" t="s">
        <v>13</v>
      </c>
      <c r="N904">
        <v>55.7</v>
      </c>
      <c r="O904">
        <v>-0.54400000000000004</v>
      </c>
      <c r="P904">
        <v>99.260999999999996</v>
      </c>
      <c r="Q904" t="s">
        <v>177</v>
      </c>
      <c r="S904" t="s">
        <v>77</v>
      </c>
      <c r="U904" t="str">
        <f t="shared" si="42"/>
        <v>N km direction of city</v>
      </c>
      <c r="V904" t="str">
        <f t="shared" si="43"/>
        <v>mwc</v>
      </c>
      <c r="X904">
        <f t="shared" si="44"/>
        <v>1998</v>
      </c>
    </row>
    <row r="905" spans="1:24">
      <c r="A905" t="s">
        <v>1459</v>
      </c>
      <c r="B905">
        <v>6.6</v>
      </c>
      <c r="C905" s="1">
        <v>35868.819444444453</v>
      </c>
      <c r="D905">
        <v>0</v>
      </c>
      <c r="E905">
        <v>8</v>
      </c>
      <c r="G905">
        <v>0</v>
      </c>
      <c r="H905">
        <v>670</v>
      </c>
      <c r="I905" t="s">
        <v>46</v>
      </c>
      <c r="J905">
        <v>0</v>
      </c>
      <c r="K905">
        <v>0</v>
      </c>
      <c r="L905">
        <v>0</v>
      </c>
      <c r="M905" t="s">
        <v>13</v>
      </c>
      <c r="N905">
        <v>9</v>
      </c>
      <c r="O905">
        <v>30.154</v>
      </c>
      <c r="P905">
        <v>57.604999999999997</v>
      </c>
      <c r="Q905" t="s">
        <v>1460</v>
      </c>
      <c r="R905" t="s">
        <v>85</v>
      </c>
      <c r="S905" t="s">
        <v>457</v>
      </c>
      <c r="U905" t="str">
        <f t="shared" si="42"/>
        <v>N km direction of city</v>
      </c>
      <c r="V905" t="str">
        <f t="shared" si="43"/>
        <v>mwc</v>
      </c>
      <c r="X905">
        <f t="shared" si="44"/>
        <v>1998</v>
      </c>
    </row>
    <row r="906" spans="1:24">
      <c r="A906" t="s">
        <v>1461</v>
      </c>
      <c r="B906">
        <v>7.1</v>
      </c>
      <c r="C906" s="1">
        <v>35825.511111111111</v>
      </c>
      <c r="D906">
        <v>0</v>
      </c>
      <c r="E906">
        <v>7</v>
      </c>
      <c r="G906">
        <v>0</v>
      </c>
      <c r="H906">
        <v>776</v>
      </c>
      <c r="I906" t="s">
        <v>46</v>
      </c>
      <c r="J906">
        <v>0</v>
      </c>
      <c r="K906">
        <v>0</v>
      </c>
      <c r="L906">
        <v>0</v>
      </c>
      <c r="M906" t="s">
        <v>13</v>
      </c>
      <c r="N906">
        <v>42</v>
      </c>
      <c r="O906">
        <v>-23.913</v>
      </c>
      <c r="P906">
        <v>-70.206999999999994</v>
      </c>
      <c r="Q906" t="s">
        <v>1040</v>
      </c>
      <c r="R906" t="s">
        <v>53</v>
      </c>
      <c r="S906" t="s">
        <v>275</v>
      </c>
      <c r="U906" t="str">
        <f t="shared" si="42"/>
        <v>N km direction of city</v>
      </c>
      <c r="V906" t="str">
        <f t="shared" si="43"/>
        <v>mwc</v>
      </c>
      <c r="X906">
        <f t="shared" si="44"/>
        <v>1998</v>
      </c>
    </row>
    <row r="907" spans="1:24">
      <c r="A907" t="s">
        <v>1462</v>
      </c>
      <c r="B907">
        <v>6.7</v>
      </c>
      <c r="C907" s="1">
        <v>35807.691666666673</v>
      </c>
      <c r="D907">
        <v>0</v>
      </c>
      <c r="E907">
        <v>6</v>
      </c>
      <c r="G907">
        <v>0</v>
      </c>
      <c r="H907">
        <v>691</v>
      </c>
      <c r="I907" t="s">
        <v>46</v>
      </c>
      <c r="J907">
        <v>0</v>
      </c>
      <c r="K907">
        <v>0</v>
      </c>
      <c r="L907">
        <v>0</v>
      </c>
      <c r="M907" t="s">
        <v>13</v>
      </c>
      <c r="N907">
        <v>23.4</v>
      </c>
      <c r="O907">
        <v>-15.848000000000001</v>
      </c>
      <c r="P907">
        <v>-179.376</v>
      </c>
      <c r="Q907" t="s">
        <v>1463</v>
      </c>
      <c r="S907" t="s">
        <v>128</v>
      </c>
      <c r="U907" t="str">
        <f t="shared" si="42"/>
        <v>N km direction of city</v>
      </c>
      <c r="V907" t="str">
        <f t="shared" si="43"/>
        <v>mwc</v>
      </c>
      <c r="X907">
        <f t="shared" si="44"/>
        <v>1998</v>
      </c>
    </row>
    <row r="908" spans="1:24">
      <c r="A908" t="s">
        <v>1464</v>
      </c>
      <c r="B908">
        <v>6.6</v>
      </c>
      <c r="C908" s="1">
        <v>35807.426388888889</v>
      </c>
      <c r="D908">
        <v>0</v>
      </c>
      <c r="E908">
        <v>7</v>
      </c>
      <c r="G908">
        <v>0</v>
      </c>
      <c r="H908">
        <v>670</v>
      </c>
      <c r="I908" t="s">
        <v>46</v>
      </c>
      <c r="J908">
        <v>0</v>
      </c>
      <c r="K908">
        <v>0</v>
      </c>
      <c r="L908">
        <v>0</v>
      </c>
      <c r="M908" t="s">
        <v>13</v>
      </c>
      <c r="N908">
        <v>34.799999999999997</v>
      </c>
      <c r="O908">
        <v>-30.984999999999999</v>
      </c>
      <c r="P908">
        <v>-71.41</v>
      </c>
      <c r="Q908" t="s">
        <v>604</v>
      </c>
      <c r="R908" t="s">
        <v>53</v>
      </c>
      <c r="S908" t="s">
        <v>275</v>
      </c>
      <c r="U908" t="str">
        <f t="shared" si="42"/>
        <v>N km direction of city</v>
      </c>
      <c r="V908" t="str">
        <f t="shared" si="43"/>
        <v>mwc</v>
      </c>
      <c r="X908">
        <f t="shared" si="44"/>
        <v>1998</v>
      </c>
    </row>
    <row r="909" spans="1:24">
      <c r="A909" t="s">
        <v>1465</v>
      </c>
      <c r="B909">
        <v>6.6</v>
      </c>
      <c r="C909" s="1">
        <v>35805.347222222219</v>
      </c>
      <c r="D909">
        <v>0</v>
      </c>
      <c r="E909">
        <v>6</v>
      </c>
      <c r="G909">
        <v>0</v>
      </c>
      <c r="H909">
        <v>670</v>
      </c>
      <c r="I909" t="s">
        <v>46</v>
      </c>
      <c r="J909">
        <v>0</v>
      </c>
      <c r="K909">
        <v>0</v>
      </c>
      <c r="L909">
        <v>0</v>
      </c>
      <c r="M909" t="s">
        <v>13</v>
      </c>
      <c r="N909">
        <v>33</v>
      </c>
      <c r="O909">
        <v>14.374000000000001</v>
      </c>
      <c r="P909">
        <v>-91.472999999999999</v>
      </c>
      <c r="Q909" t="s">
        <v>1466</v>
      </c>
      <c r="S909" t="s">
        <v>485</v>
      </c>
      <c r="U909" t="str">
        <f t="shared" si="42"/>
        <v>N km direction of city</v>
      </c>
      <c r="V909" t="str">
        <f t="shared" si="43"/>
        <v>mwc</v>
      </c>
      <c r="X909">
        <f t="shared" si="44"/>
        <v>1998</v>
      </c>
    </row>
    <row r="910" spans="1:24">
      <c r="A910" t="s">
        <v>1467</v>
      </c>
      <c r="B910">
        <v>7.2</v>
      </c>
      <c r="C910" s="1">
        <v>35786.086805555547</v>
      </c>
      <c r="D910">
        <v>0</v>
      </c>
      <c r="E910">
        <v>6</v>
      </c>
      <c r="G910">
        <v>0</v>
      </c>
      <c r="H910">
        <v>798</v>
      </c>
      <c r="I910" t="s">
        <v>46</v>
      </c>
      <c r="J910">
        <v>0</v>
      </c>
      <c r="K910">
        <v>0</v>
      </c>
      <c r="L910">
        <v>0</v>
      </c>
      <c r="M910" t="s">
        <v>13</v>
      </c>
      <c r="N910">
        <v>179.3</v>
      </c>
      <c r="O910">
        <v>-5.4950000000000001</v>
      </c>
      <c r="P910">
        <v>147.86699999999999</v>
      </c>
      <c r="Q910" t="s">
        <v>674</v>
      </c>
      <c r="S910" t="s">
        <v>89</v>
      </c>
      <c r="U910" t="str">
        <f t="shared" si="42"/>
        <v>N km direction of city</v>
      </c>
      <c r="V910" t="str">
        <f t="shared" si="43"/>
        <v>mwc</v>
      </c>
      <c r="X910">
        <f t="shared" si="44"/>
        <v>1997</v>
      </c>
    </row>
    <row r="911" spans="1:24">
      <c r="A911" t="s">
        <v>1468</v>
      </c>
      <c r="B911">
        <v>7.8</v>
      </c>
      <c r="C911" s="1">
        <v>35769.476388888892</v>
      </c>
      <c r="D911">
        <v>0</v>
      </c>
      <c r="E911">
        <v>7</v>
      </c>
      <c r="G911">
        <v>0</v>
      </c>
      <c r="H911">
        <v>936</v>
      </c>
      <c r="I911" t="s">
        <v>46</v>
      </c>
      <c r="J911">
        <v>0</v>
      </c>
      <c r="K911">
        <v>0</v>
      </c>
      <c r="L911">
        <v>0</v>
      </c>
      <c r="M911" t="s">
        <v>13</v>
      </c>
      <c r="N911">
        <v>33</v>
      </c>
      <c r="O911">
        <v>54.841000000000001</v>
      </c>
      <c r="P911">
        <v>162.035</v>
      </c>
      <c r="Q911" t="s">
        <v>251</v>
      </c>
      <c r="R911" t="s">
        <v>85</v>
      </c>
      <c r="S911" t="s">
        <v>310</v>
      </c>
      <c r="U911" t="str">
        <f t="shared" si="42"/>
        <v>N km direction of city</v>
      </c>
      <c r="V911" t="str">
        <f t="shared" si="43"/>
        <v>mwc</v>
      </c>
      <c r="X911">
        <f t="shared" si="44"/>
        <v>1997</v>
      </c>
    </row>
    <row r="912" spans="1:24">
      <c r="A912" t="s">
        <v>1469</v>
      </c>
      <c r="B912">
        <v>7</v>
      </c>
      <c r="C912" s="1">
        <v>35759.509722222218</v>
      </c>
      <c r="D912">
        <v>0</v>
      </c>
      <c r="E912">
        <v>6</v>
      </c>
      <c r="G912">
        <v>0</v>
      </c>
      <c r="H912">
        <v>754</v>
      </c>
      <c r="I912" t="s">
        <v>46</v>
      </c>
      <c r="J912">
        <v>0</v>
      </c>
      <c r="K912">
        <v>0</v>
      </c>
      <c r="L912">
        <v>0</v>
      </c>
      <c r="M912" t="s">
        <v>13</v>
      </c>
      <c r="N912">
        <v>24</v>
      </c>
      <c r="O912">
        <v>1.2410000000000001</v>
      </c>
      <c r="P912">
        <v>122.536</v>
      </c>
      <c r="Q912" t="s">
        <v>1001</v>
      </c>
      <c r="S912" t="s">
        <v>77</v>
      </c>
      <c r="U912" t="str">
        <f t="shared" si="42"/>
        <v>N km direction of city</v>
      </c>
      <c r="V912" t="str">
        <f t="shared" si="43"/>
        <v>mwc</v>
      </c>
      <c r="X912">
        <f t="shared" si="44"/>
        <v>1997</v>
      </c>
    </row>
    <row r="913" spans="1:24">
      <c r="A913" t="s">
        <v>1470</v>
      </c>
      <c r="B913">
        <v>6.6</v>
      </c>
      <c r="C913" s="1">
        <v>35752.546527777777</v>
      </c>
      <c r="D913">
        <v>0</v>
      </c>
      <c r="E913">
        <v>7</v>
      </c>
      <c r="G913">
        <v>0</v>
      </c>
      <c r="H913">
        <v>670</v>
      </c>
      <c r="I913" t="s">
        <v>46</v>
      </c>
      <c r="J913">
        <v>0</v>
      </c>
      <c r="K913">
        <v>0</v>
      </c>
      <c r="L913">
        <v>0</v>
      </c>
      <c r="M913" t="s">
        <v>13</v>
      </c>
      <c r="N913">
        <v>33</v>
      </c>
      <c r="O913">
        <v>37.57</v>
      </c>
      <c r="P913">
        <v>20.655999999999999</v>
      </c>
      <c r="Q913" t="s">
        <v>390</v>
      </c>
      <c r="R913" t="s">
        <v>267</v>
      </c>
      <c r="U913" t="str">
        <f t="shared" si="42"/>
        <v>N km direction of city</v>
      </c>
      <c r="V913" t="str">
        <f t="shared" si="43"/>
        <v>mwc</v>
      </c>
      <c r="X913">
        <f t="shared" si="44"/>
        <v>1997</v>
      </c>
    </row>
    <row r="914" spans="1:24">
      <c r="A914" t="s">
        <v>1471</v>
      </c>
      <c r="B914">
        <v>7</v>
      </c>
      <c r="C914" s="1">
        <v>35749.790972222218</v>
      </c>
      <c r="D914">
        <v>0</v>
      </c>
      <c r="E914">
        <v>6</v>
      </c>
      <c r="G914">
        <v>0</v>
      </c>
      <c r="H914">
        <v>754</v>
      </c>
      <c r="I914" t="s">
        <v>46</v>
      </c>
      <c r="J914">
        <v>0</v>
      </c>
      <c r="K914">
        <v>0</v>
      </c>
      <c r="L914">
        <v>0</v>
      </c>
      <c r="M914" t="s">
        <v>13</v>
      </c>
      <c r="N914">
        <v>123.1</v>
      </c>
      <c r="O914">
        <v>-15.145</v>
      </c>
      <c r="P914">
        <v>167.375</v>
      </c>
      <c r="Q914" t="s">
        <v>101</v>
      </c>
      <c r="S914" t="s">
        <v>48</v>
      </c>
      <c r="U914" t="str">
        <f t="shared" si="42"/>
        <v>N km direction of city</v>
      </c>
      <c r="V914" t="str">
        <f t="shared" si="43"/>
        <v>mwc</v>
      </c>
      <c r="X914">
        <f t="shared" si="44"/>
        <v>1997</v>
      </c>
    </row>
    <row r="915" spans="1:24">
      <c r="A915" t="s">
        <v>1472</v>
      </c>
      <c r="B915">
        <v>6.5</v>
      </c>
      <c r="C915" s="1">
        <v>35743.955555555563</v>
      </c>
      <c r="D915">
        <v>0</v>
      </c>
      <c r="E915">
        <v>4</v>
      </c>
      <c r="G915">
        <v>0</v>
      </c>
      <c r="H915">
        <v>650</v>
      </c>
      <c r="I915" t="s">
        <v>46</v>
      </c>
      <c r="J915">
        <v>0</v>
      </c>
      <c r="K915">
        <v>0</v>
      </c>
      <c r="L915">
        <v>0</v>
      </c>
      <c r="M915" t="s">
        <v>12</v>
      </c>
      <c r="N915">
        <v>176.4</v>
      </c>
      <c r="O915">
        <v>13.849</v>
      </c>
      <c r="P915">
        <v>-88.808000000000007</v>
      </c>
      <c r="Q915" t="s">
        <v>1473</v>
      </c>
      <c r="S915" t="s">
        <v>1325</v>
      </c>
      <c r="U915" t="str">
        <f t="shared" si="42"/>
        <v>N km direction of city</v>
      </c>
      <c r="V915" t="str">
        <f t="shared" si="43"/>
        <v>mwb</v>
      </c>
      <c r="X915">
        <f t="shared" si="44"/>
        <v>1997</v>
      </c>
    </row>
    <row r="916" spans="1:24">
      <c r="A916" t="s">
        <v>1474</v>
      </c>
      <c r="B916">
        <v>7.5</v>
      </c>
      <c r="C916" s="1">
        <v>35742.418055555558</v>
      </c>
      <c r="D916">
        <v>0</v>
      </c>
      <c r="E916">
        <v>7</v>
      </c>
      <c r="G916">
        <v>0</v>
      </c>
      <c r="H916">
        <v>865</v>
      </c>
      <c r="I916" t="s">
        <v>46</v>
      </c>
      <c r="J916">
        <v>0</v>
      </c>
      <c r="K916">
        <v>0</v>
      </c>
      <c r="L916">
        <v>0</v>
      </c>
      <c r="M916" t="s">
        <v>13</v>
      </c>
      <c r="N916">
        <v>33</v>
      </c>
      <c r="O916">
        <v>35.069000000000003</v>
      </c>
      <c r="P916">
        <v>87.325000000000003</v>
      </c>
      <c r="Q916" t="s">
        <v>1475</v>
      </c>
      <c r="R916" t="s">
        <v>85</v>
      </c>
      <c r="S916" t="s">
        <v>153</v>
      </c>
      <c r="U916" t="str">
        <f t="shared" si="42"/>
        <v>Named-region</v>
      </c>
      <c r="V916" t="str">
        <f t="shared" si="43"/>
        <v>mwc</v>
      </c>
      <c r="X916">
        <f t="shared" si="44"/>
        <v>1997</v>
      </c>
    </row>
    <row r="917" spans="1:24">
      <c r="A917" t="s">
        <v>1476</v>
      </c>
      <c r="B917">
        <v>7.2</v>
      </c>
      <c r="C917" s="1">
        <v>35731.260416666657</v>
      </c>
      <c r="D917">
        <v>0</v>
      </c>
      <c r="E917">
        <v>7</v>
      </c>
      <c r="G917">
        <v>0</v>
      </c>
      <c r="H917">
        <v>798</v>
      </c>
      <c r="I917" t="s">
        <v>46</v>
      </c>
      <c r="J917">
        <v>0</v>
      </c>
      <c r="K917">
        <v>0</v>
      </c>
      <c r="L917">
        <v>0</v>
      </c>
      <c r="M917" t="s">
        <v>13</v>
      </c>
      <c r="N917">
        <v>112</v>
      </c>
      <c r="O917">
        <v>-4.3680000000000003</v>
      </c>
      <c r="P917">
        <v>-76.680999999999997</v>
      </c>
      <c r="Q917" t="s">
        <v>180</v>
      </c>
      <c r="R917" t="s">
        <v>53</v>
      </c>
      <c r="S917" t="s">
        <v>164</v>
      </c>
      <c r="U917" t="str">
        <f t="shared" si="42"/>
        <v>N km direction of city</v>
      </c>
      <c r="V917" t="str">
        <f t="shared" si="43"/>
        <v>mwc</v>
      </c>
      <c r="X917">
        <f t="shared" si="44"/>
        <v>1997</v>
      </c>
    </row>
    <row r="918" spans="1:24">
      <c r="A918" t="s">
        <v>1477</v>
      </c>
      <c r="B918">
        <v>7.1</v>
      </c>
      <c r="C918" s="1">
        <v>35718.043749999997</v>
      </c>
      <c r="D918">
        <v>0</v>
      </c>
      <c r="E918">
        <v>7</v>
      </c>
      <c r="G918">
        <v>0</v>
      </c>
      <c r="H918">
        <v>776</v>
      </c>
      <c r="I918" t="s">
        <v>46</v>
      </c>
      <c r="J918">
        <v>0</v>
      </c>
      <c r="K918">
        <v>0</v>
      </c>
      <c r="L918">
        <v>0</v>
      </c>
      <c r="M918" t="s">
        <v>13</v>
      </c>
      <c r="N918">
        <v>58</v>
      </c>
      <c r="O918">
        <v>-30.933</v>
      </c>
      <c r="P918">
        <v>-71.22</v>
      </c>
      <c r="Q918" t="s">
        <v>1272</v>
      </c>
      <c r="R918" t="s">
        <v>53</v>
      </c>
      <c r="S918" t="s">
        <v>275</v>
      </c>
      <c r="U918" t="str">
        <f t="shared" si="42"/>
        <v>N km direction of city</v>
      </c>
      <c r="V918" t="str">
        <f t="shared" si="43"/>
        <v>mwc</v>
      </c>
      <c r="X918">
        <f t="shared" si="44"/>
        <v>1997</v>
      </c>
    </row>
    <row r="919" spans="1:24">
      <c r="A919" t="s">
        <v>1478</v>
      </c>
      <c r="B919">
        <v>7.8</v>
      </c>
      <c r="C919" s="1">
        <v>35717.411805555559</v>
      </c>
      <c r="D919">
        <v>0</v>
      </c>
      <c r="E919">
        <v>7</v>
      </c>
      <c r="G919">
        <v>0</v>
      </c>
      <c r="H919">
        <v>936</v>
      </c>
      <c r="I919" t="s">
        <v>46</v>
      </c>
      <c r="J919">
        <v>0</v>
      </c>
      <c r="K919">
        <v>0</v>
      </c>
      <c r="L919">
        <v>0</v>
      </c>
      <c r="M919" t="s">
        <v>12</v>
      </c>
      <c r="N919">
        <v>167.3</v>
      </c>
      <c r="O919">
        <v>-22.100999999999999</v>
      </c>
      <c r="P919">
        <v>-176.77199999999999</v>
      </c>
      <c r="Q919" t="s">
        <v>245</v>
      </c>
      <c r="U919" t="str">
        <f t="shared" si="42"/>
        <v>N km direction of city</v>
      </c>
      <c r="V919" t="str">
        <f t="shared" si="43"/>
        <v>mwb</v>
      </c>
      <c r="X919">
        <f t="shared" si="44"/>
        <v>1997</v>
      </c>
    </row>
    <row r="920" spans="1:24">
      <c r="A920" t="s">
        <v>1479</v>
      </c>
      <c r="B920">
        <v>6.5</v>
      </c>
      <c r="C920" s="1">
        <v>35709.520833333343</v>
      </c>
      <c r="D920">
        <v>0</v>
      </c>
      <c r="E920">
        <v>5</v>
      </c>
      <c r="G920">
        <v>0</v>
      </c>
      <c r="H920">
        <v>650</v>
      </c>
      <c r="I920" t="s">
        <v>46</v>
      </c>
      <c r="J920">
        <v>0</v>
      </c>
      <c r="K920">
        <v>0</v>
      </c>
      <c r="L920">
        <v>0</v>
      </c>
      <c r="M920" t="s">
        <v>12</v>
      </c>
      <c r="N920">
        <v>105.6</v>
      </c>
      <c r="O920">
        <v>9.7899999999999991</v>
      </c>
      <c r="P920">
        <v>125.779</v>
      </c>
      <c r="Q920" t="s">
        <v>1194</v>
      </c>
      <c r="S920" t="s">
        <v>158</v>
      </c>
      <c r="U920" t="str">
        <f t="shared" si="42"/>
        <v>N km direction of city</v>
      </c>
      <c r="V920" t="str">
        <f t="shared" si="43"/>
        <v>mwb</v>
      </c>
      <c r="X920">
        <f t="shared" si="44"/>
        <v>1997</v>
      </c>
    </row>
    <row r="921" spans="1:24">
      <c r="A921" t="s">
        <v>1480</v>
      </c>
      <c r="B921">
        <v>6.8</v>
      </c>
      <c r="C921" s="1">
        <v>35675.509027777778</v>
      </c>
      <c r="D921">
        <v>0</v>
      </c>
      <c r="E921">
        <v>5</v>
      </c>
      <c r="G921">
        <v>0</v>
      </c>
      <c r="H921">
        <v>711</v>
      </c>
      <c r="I921" t="s">
        <v>46</v>
      </c>
      <c r="J921">
        <v>0</v>
      </c>
      <c r="K921">
        <v>0</v>
      </c>
      <c r="L921">
        <v>0</v>
      </c>
      <c r="M921" t="s">
        <v>12</v>
      </c>
      <c r="N921">
        <v>198.7</v>
      </c>
      <c r="O921">
        <v>3.8490000000000002</v>
      </c>
      <c r="P921">
        <v>-75.748999999999995</v>
      </c>
      <c r="Q921" t="s">
        <v>1481</v>
      </c>
      <c r="R921" t="s">
        <v>53</v>
      </c>
      <c r="S921" t="s">
        <v>68</v>
      </c>
      <c r="U921" t="str">
        <f t="shared" si="42"/>
        <v>N km direction of city</v>
      </c>
      <c r="V921" t="str">
        <f t="shared" si="43"/>
        <v>mwb</v>
      </c>
      <c r="X921">
        <f t="shared" si="44"/>
        <v>1997</v>
      </c>
    </row>
    <row r="922" spans="1:24">
      <c r="A922" t="s">
        <v>1482</v>
      </c>
      <c r="B922">
        <v>6.6</v>
      </c>
      <c r="C922" s="1">
        <v>35671.343055555553</v>
      </c>
      <c r="D922">
        <v>0</v>
      </c>
      <c r="E922">
        <v>6</v>
      </c>
      <c r="G922">
        <v>0</v>
      </c>
      <c r="H922">
        <v>670</v>
      </c>
      <c r="I922" t="s">
        <v>46</v>
      </c>
      <c r="J922">
        <v>0</v>
      </c>
      <c r="K922">
        <v>0</v>
      </c>
      <c r="L922">
        <v>0</v>
      </c>
      <c r="M922" t="s">
        <v>13</v>
      </c>
      <c r="N922">
        <v>22.8</v>
      </c>
      <c r="O922">
        <v>-3.5619999999999998</v>
      </c>
      <c r="P922">
        <v>144.36199999999999</v>
      </c>
      <c r="Q922" t="s">
        <v>459</v>
      </c>
      <c r="S922" t="s">
        <v>89</v>
      </c>
      <c r="U922" t="str">
        <f t="shared" si="42"/>
        <v>N km direction of city</v>
      </c>
      <c r="V922" t="str">
        <f t="shared" si="43"/>
        <v>mwc</v>
      </c>
      <c r="X922">
        <f t="shared" si="44"/>
        <v>1997</v>
      </c>
    </row>
    <row r="923" spans="1:24">
      <c r="A923" t="s">
        <v>1483</v>
      </c>
      <c r="B923">
        <v>6.9</v>
      </c>
      <c r="C923" s="1">
        <v>35630.598611111112</v>
      </c>
      <c r="D923">
        <v>0</v>
      </c>
      <c r="E923">
        <v>6</v>
      </c>
      <c r="G923">
        <v>0</v>
      </c>
      <c r="H923">
        <v>732</v>
      </c>
      <c r="I923" t="s">
        <v>46</v>
      </c>
      <c r="J923">
        <v>0</v>
      </c>
      <c r="K923">
        <v>0</v>
      </c>
      <c r="L923">
        <v>0</v>
      </c>
      <c r="M923" t="s">
        <v>12</v>
      </c>
      <c r="N923">
        <v>33</v>
      </c>
      <c r="O923">
        <v>16.332999999999998</v>
      </c>
      <c r="P923">
        <v>-98.215999999999994</v>
      </c>
      <c r="Q923" t="s">
        <v>1484</v>
      </c>
      <c r="R923" t="s">
        <v>139</v>
      </c>
      <c r="S923" t="s">
        <v>140</v>
      </c>
      <c r="U923" t="str">
        <f t="shared" si="42"/>
        <v>N km direction of city</v>
      </c>
      <c r="V923" t="str">
        <f t="shared" si="43"/>
        <v>mwb</v>
      </c>
      <c r="X923">
        <f t="shared" si="44"/>
        <v>1997</v>
      </c>
    </row>
    <row r="924" spans="1:24">
      <c r="A924" t="s">
        <v>1485</v>
      </c>
      <c r="B924">
        <v>7</v>
      </c>
      <c r="C924" s="1">
        <v>35620.808333333327</v>
      </c>
      <c r="D924">
        <v>0</v>
      </c>
      <c r="E924">
        <v>8</v>
      </c>
      <c r="G924">
        <v>0</v>
      </c>
      <c r="H924">
        <v>754</v>
      </c>
      <c r="I924" t="s">
        <v>46</v>
      </c>
      <c r="J924">
        <v>0</v>
      </c>
      <c r="K924">
        <v>0</v>
      </c>
      <c r="L924">
        <v>0</v>
      </c>
      <c r="M924" t="s">
        <v>13</v>
      </c>
      <c r="N924">
        <v>19.899999999999999</v>
      </c>
      <c r="O924">
        <v>10.598000000000001</v>
      </c>
      <c r="P924">
        <v>-63.485999999999997</v>
      </c>
      <c r="Q924" t="s">
        <v>415</v>
      </c>
      <c r="S924" t="s">
        <v>416</v>
      </c>
      <c r="U924" t="str">
        <f t="shared" si="42"/>
        <v>N km direction of city</v>
      </c>
      <c r="V924" t="str">
        <f t="shared" si="43"/>
        <v>mwc</v>
      </c>
      <c r="X924">
        <f t="shared" si="44"/>
        <v>1997</v>
      </c>
    </row>
    <row r="925" spans="1:24">
      <c r="A925" t="s">
        <v>1486</v>
      </c>
      <c r="B925">
        <v>6.8</v>
      </c>
      <c r="C925" s="1">
        <v>35617.412499999999</v>
      </c>
      <c r="D925">
        <v>0</v>
      </c>
      <c r="E925">
        <v>6</v>
      </c>
      <c r="G925">
        <v>0</v>
      </c>
      <c r="H925">
        <v>711</v>
      </c>
      <c r="I925" t="s">
        <v>46</v>
      </c>
      <c r="J925">
        <v>0</v>
      </c>
      <c r="K925">
        <v>0</v>
      </c>
      <c r="L925">
        <v>0</v>
      </c>
      <c r="M925" t="s">
        <v>13</v>
      </c>
      <c r="N925">
        <v>19</v>
      </c>
      <c r="O925">
        <v>-30.058</v>
      </c>
      <c r="P925">
        <v>-71.872</v>
      </c>
      <c r="Q925" t="s">
        <v>372</v>
      </c>
      <c r="U925" t="str">
        <f t="shared" si="42"/>
        <v>N km direction of city</v>
      </c>
      <c r="V925" t="str">
        <f t="shared" si="43"/>
        <v>mwc</v>
      </c>
      <c r="X925">
        <f t="shared" si="44"/>
        <v>1997</v>
      </c>
    </row>
    <row r="926" spans="1:24">
      <c r="A926" t="s">
        <v>1487</v>
      </c>
      <c r="B926">
        <v>6.5</v>
      </c>
      <c r="C926" s="1">
        <v>35572.326388888891</v>
      </c>
      <c r="D926">
        <v>0</v>
      </c>
      <c r="E926">
        <v>6</v>
      </c>
      <c r="G926">
        <v>0</v>
      </c>
      <c r="H926">
        <v>650</v>
      </c>
      <c r="I926" t="s">
        <v>46</v>
      </c>
      <c r="J926">
        <v>0</v>
      </c>
      <c r="K926">
        <v>0</v>
      </c>
      <c r="L926">
        <v>0</v>
      </c>
      <c r="M926" t="s">
        <v>13</v>
      </c>
      <c r="N926">
        <v>70</v>
      </c>
      <c r="O926">
        <v>18.684000000000001</v>
      </c>
      <c r="P926">
        <v>-101.604</v>
      </c>
      <c r="Q926" t="s">
        <v>1488</v>
      </c>
      <c r="R926" t="s">
        <v>139</v>
      </c>
      <c r="S926" t="s">
        <v>140</v>
      </c>
      <c r="U926" t="str">
        <f t="shared" si="42"/>
        <v>N km direction of city</v>
      </c>
      <c r="V926" t="str">
        <f t="shared" si="43"/>
        <v>mwc</v>
      </c>
      <c r="X926">
        <f t="shared" si="44"/>
        <v>1997</v>
      </c>
    </row>
    <row r="927" spans="1:24">
      <c r="A927" t="s">
        <v>1489</v>
      </c>
      <c r="B927">
        <v>6.8</v>
      </c>
      <c r="C927" s="1">
        <v>35571.590277777781</v>
      </c>
      <c r="D927">
        <v>0</v>
      </c>
      <c r="E927">
        <v>6</v>
      </c>
      <c r="G927">
        <v>0</v>
      </c>
      <c r="H927">
        <v>711</v>
      </c>
      <c r="I927" t="s">
        <v>46</v>
      </c>
      <c r="J927">
        <v>0</v>
      </c>
      <c r="K927">
        <v>0</v>
      </c>
      <c r="L927">
        <v>0</v>
      </c>
      <c r="M927" t="s">
        <v>13</v>
      </c>
      <c r="N927">
        <v>57</v>
      </c>
      <c r="O927">
        <v>-20.437999999999999</v>
      </c>
      <c r="P927">
        <v>169.28700000000001</v>
      </c>
      <c r="Q927" t="s">
        <v>148</v>
      </c>
      <c r="U927" t="str">
        <f t="shared" si="42"/>
        <v>N km direction of city</v>
      </c>
      <c r="V927" t="str">
        <f t="shared" si="43"/>
        <v>mwc</v>
      </c>
      <c r="X927">
        <f t="shared" si="44"/>
        <v>1997</v>
      </c>
    </row>
    <row r="928" spans="1:24">
      <c r="A928" t="s">
        <v>1490</v>
      </c>
      <c r="B928">
        <v>6.5</v>
      </c>
      <c r="C928" s="1">
        <v>35563.592361111107</v>
      </c>
      <c r="D928">
        <v>0</v>
      </c>
      <c r="E928">
        <v>4</v>
      </c>
      <c r="G928">
        <v>0</v>
      </c>
      <c r="H928">
        <v>650</v>
      </c>
      <c r="I928" t="s">
        <v>46</v>
      </c>
      <c r="J928">
        <v>0</v>
      </c>
      <c r="K928">
        <v>0</v>
      </c>
      <c r="L928">
        <v>0</v>
      </c>
      <c r="M928" t="s">
        <v>12</v>
      </c>
      <c r="N928">
        <v>196</v>
      </c>
      <c r="O928">
        <v>36.411000000000001</v>
      </c>
      <c r="P928">
        <v>70.944999999999993</v>
      </c>
      <c r="Q928" t="s">
        <v>93</v>
      </c>
      <c r="R928" t="s">
        <v>85</v>
      </c>
      <c r="S928" t="s">
        <v>94</v>
      </c>
      <c r="U928" t="str">
        <f t="shared" si="42"/>
        <v>N km direction of city</v>
      </c>
      <c r="V928" t="str">
        <f t="shared" si="43"/>
        <v>mwb</v>
      </c>
      <c r="X928">
        <f t="shared" si="44"/>
        <v>1997</v>
      </c>
    </row>
    <row r="929" spans="1:24">
      <c r="A929" t="s">
        <v>1491</v>
      </c>
      <c r="B929">
        <v>7.3</v>
      </c>
      <c r="C929" s="1">
        <v>35560.331250000003</v>
      </c>
      <c r="D929">
        <v>0</v>
      </c>
      <c r="E929">
        <v>9</v>
      </c>
      <c r="G929">
        <v>0</v>
      </c>
      <c r="H929">
        <v>820</v>
      </c>
      <c r="I929" t="s">
        <v>46</v>
      </c>
      <c r="J929">
        <v>0</v>
      </c>
      <c r="K929">
        <v>0</v>
      </c>
      <c r="L929">
        <v>0</v>
      </c>
      <c r="M929" t="s">
        <v>12</v>
      </c>
      <c r="N929">
        <v>10</v>
      </c>
      <c r="O929">
        <v>33.825000000000003</v>
      </c>
      <c r="P929">
        <v>59.808999999999997</v>
      </c>
      <c r="Q929" t="s">
        <v>1492</v>
      </c>
      <c r="R929" t="s">
        <v>85</v>
      </c>
      <c r="S929" t="s">
        <v>457</v>
      </c>
      <c r="U929" t="str">
        <f t="shared" si="42"/>
        <v>N km direction of city</v>
      </c>
      <c r="V929" t="str">
        <f t="shared" si="43"/>
        <v>mwb</v>
      </c>
      <c r="X929">
        <f t="shared" si="44"/>
        <v>1997</v>
      </c>
    </row>
    <row r="930" spans="1:24">
      <c r="A930" t="s">
        <v>1493</v>
      </c>
      <c r="B930">
        <v>6.5</v>
      </c>
      <c r="C930" s="1">
        <v>35543.822222222218</v>
      </c>
      <c r="D930">
        <v>0</v>
      </c>
      <c r="E930">
        <v>6</v>
      </c>
      <c r="G930">
        <v>0</v>
      </c>
      <c r="H930">
        <v>650</v>
      </c>
      <c r="I930" t="s">
        <v>46</v>
      </c>
      <c r="J930">
        <v>0</v>
      </c>
      <c r="K930">
        <v>0</v>
      </c>
      <c r="L930">
        <v>0</v>
      </c>
      <c r="M930" t="s">
        <v>13</v>
      </c>
      <c r="N930">
        <v>100.8</v>
      </c>
      <c r="O930">
        <v>13.986000000000001</v>
      </c>
      <c r="P930">
        <v>144.90100000000001</v>
      </c>
      <c r="Q930" t="s">
        <v>1494</v>
      </c>
      <c r="U930" t="str">
        <f t="shared" si="42"/>
        <v>N km direction of city</v>
      </c>
      <c r="V930" t="str">
        <f t="shared" si="43"/>
        <v>mwc</v>
      </c>
      <c r="X930">
        <f t="shared" si="44"/>
        <v>1997</v>
      </c>
    </row>
    <row r="931" spans="1:24">
      <c r="A931" t="s">
        <v>1495</v>
      </c>
      <c r="B931">
        <v>6.7</v>
      </c>
      <c r="C931" s="1">
        <v>35542.396527777782</v>
      </c>
      <c r="D931">
        <v>0</v>
      </c>
      <c r="E931">
        <v>7</v>
      </c>
      <c r="G931">
        <v>0</v>
      </c>
      <c r="H931">
        <v>691</v>
      </c>
      <c r="I931" t="s">
        <v>46</v>
      </c>
      <c r="J931">
        <v>0</v>
      </c>
      <c r="K931">
        <v>0</v>
      </c>
      <c r="L931">
        <v>0</v>
      </c>
      <c r="M931" t="s">
        <v>12</v>
      </c>
      <c r="N931">
        <v>5</v>
      </c>
      <c r="O931">
        <v>11.112</v>
      </c>
      <c r="P931">
        <v>-60.892000000000003</v>
      </c>
      <c r="Q931" t="s">
        <v>1496</v>
      </c>
      <c r="S931" t="s">
        <v>1497</v>
      </c>
      <c r="U931" t="str">
        <f t="shared" si="42"/>
        <v>N km direction of city</v>
      </c>
      <c r="V931" t="str">
        <f t="shared" si="43"/>
        <v>mwb</v>
      </c>
      <c r="X931">
        <f t="shared" si="44"/>
        <v>1997</v>
      </c>
    </row>
    <row r="932" spans="1:24">
      <c r="A932" t="s">
        <v>1498</v>
      </c>
      <c r="B932">
        <v>7.7</v>
      </c>
      <c r="C932" s="1">
        <v>35541.501388888893</v>
      </c>
      <c r="D932">
        <v>0</v>
      </c>
      <c r="E932">
        <v>6</v>
      </c>
      <c r="G932">
        <v>0</v>
      </c>
      <c r="H932">
        <v>912</v>
      </c>
      <c r="I932" t="s">
        <v>46</v>
      </c>
      <c r="J932">
        <v>0</v>
      </c>
      <c r="K932">
        <v>0</v>
      </c>
      <c r="L932">
        <v>0</v>
      </c>
      <c r="M932" t="s">
        <v>13</v>
      </c>
      <c r="N932">
        <v>33</v>
      </c>
      <c r="O932">
        <v>-12.584</v>
      </c>
      <c r="P932">
        <v>166.67599999999999</v>
      </c>
      <c r="Q932" t="s">
        <v>47</v>
      </c>
      <c r="U932" t="str">
        <f t="shared" si="42"/>
        <v>N km direction of city</v>
      </c>
      <c r="V932" t="str">
        <f t="shared" si="43"/>
        <v>mwc</v>
      </c>
      <c r="X932">
        <f t="shared" si="44"/>
        <v>1997</v>
      </c>
    </row>
    <row r="933" spans="1:24">
      <c r="A933" t="s">
        <v>1499</v>
      </c>
      <c r="B933">
        <v>6.5</v>
      </c>
      <c r="C933" s="1">
        <v>35525.515972222223</v>
      </c>
      <c r="D933">
        <v>0</v>
      </c>
      <c r="E933">
        <v>6</v>
      </c>
      <c r="G933">
        <v>0</v>
      </c>
      <c r="H933">
        <v>650</v>
      </c>
      <c r="I933" t="s">
        <v>46</v>
      </c>
      <c r="J933">
        <v>0</v>
      </c>
      <c r="K933">
        <v>0</v>
      </c>
      <c r="L933">
        <v>0</v>
      </c>
      <c r="M933" t="s">
        <v>13</v>
      </c>
      <c r="N933">
        <v>69.099999999999994</v>
      </c>
      <c r="O933">
        <v>-6.4850000000000003</v>
      </c>
      <c r="P933">
        <v>147.40799999999999</v>
      </c>
      <c r="Q933" t="s">
        <v>674</v>
      </c>
      <c r="S933" t="s">
        <v>89</v>
      </c>
      <c r="U933" t="str">
        <f t="shared" si="42"/>
        <v>N km direction of city</v>
      </c>
      <c r="V933" t="str">
        <f t="shared" si="43"/>
        <v>mwc</v>
      </c>
      <c r="X933">
        <f t="shared" si="44"/>
        <v>1997</v>
      </c>
    </row>
    <row r="934" spans="1:24">
      <c r="A934" t="s">
        <v>1500</v>
      </c>
      <c r="B934">
        <v>6.9</v>
      </c>
      <c r="C934" s="1">
        <v>35500.806944444441</v>
      </c>
      <c r="D934">
        <v>0</v>
      </c>
      <c r="E934">
        <v>5</v>
      </c>
      <c r="G934">
        <v>0</v>
      </c>
      <c r="H934">
        <v>732</v>
      </c>
      <c r="I934" t="s">
        <v>46</v>
      </c>
      <c r="J934">
        <v>0</v>
      </c>
      <c r="K934">
        <v>0</v>
      </c>
      <c r="L934">
        <v>0</v>
      </c>
      <c r="M934" t="s">
        <v>12</v>
      </c>
      <c r="N934">
        <v>10</v>
      </c>
      <c r="O934">
        <v>7.742</v>
      </c>
      <c r="P934">
        <v>127.64700000000001</v>
      </c>
      <c r="Q934" t="s">
        <v>1501</v>
      </c>
      <c r="U934" t="str">
        <f t="shared" si="42"/>
        <v>N km direction of city</v>
      </c>
      <c r="V934" t="str">
        <f t="shared" si="43"/>
        <v>mwb</v>
      </c>
      <c r="X934">
        <f t="shared" si="44"/>
        <v>1997</v>
      </c>
    </row>
    <row r="935" spans="1:24">
      <c r="A935" t="s">
        <v>1502</v>
      </c>
      <c r="B935">
        <v>7.1</v>
      </c>
      <c r="C935" s="1">
        <v>35488.880555555559</v>
      </c>
      <c r="D935">
        <v>0</v>
      </c>
      <c r="E935">
        <v>6</v>
      </c>
      <c r="G935">
        <v>0</v>
      </c>
      <c r="H935">
        <v>776</v>
      </c>
      <c r="I935" t="s">
        <v>46</v>
      </c>
      <c r="J935">
        <v>0</v>
      </c>
      <c r="K935">
        <v>0</v>
      </c>
      <c r="L935">
        <v>0</v>
      </c>
      <c r="M935" t="s">
        <v>13</v>
      </c>
      <c r="N935">
        <v>33</v>
      </c>
      <c r="O935">
        <v>29.975999999999999</v>
      </c>
      <c r="P935">
        <v>68.207999999999998</v>
      </c>
      <c r="Q935" t="s">
        <v>1503</v>
      </c>
      <c r="R935" t="s">
        <v>85</v>
      </c>
      <c r="S935" t="s">
        <v>745</v>
      </c>
      <c r="U935" t="str">
        <f t="shared" si="42"/>
        <v>N km direction of city</v>
      </c>
      <c r="V935" t="str">
        <f t="shared" si="43"/>
        <v>mwc</v>
      </c>
      <c r="X935">
        <f t="shared" si="44"/>
        <v>1997</v>
      </c>
    </row>
    <row r="936" spans="1:24">
      <c r="A936" t="s">
        <v>1504</v>
      </c>
      <c r="B936">
        <v>6.5</v>
      </c>
      <c r="C936" s="1">
        <v>35465.442361111112</v>
      </c>
      <c r="D936">
        <v>0</v>
      </c>
      <c r="E936">
        <v>8</v>
      </c>
      <c r="G936">
        <v>0</v>
      </c>
      <c r="H936">
        <v>650</v>
      </c>
      <c r="I936" t="s">
        <v>46</v>
      </c>
      <c r="J936">
        <v>0</v>
      </c>
      <c r="K936">
        <v>0</v>
      </c>
      <c r="L936">
        <v>0</v>
      </c>
      <c r="M936" t="s">
        <v>13</v>
      </c>
      <c r="N936">
        <v>10</v>
      </c>
      <c r="O936">
        <v>37.661000000000001</v>
      </c>
      <c r="P936">
        <v>57.290999999999997</v>
      </c>
      <c r="Q936" t="s">
        <v>1505</v>
      </c>
      <c r="R936" t="s">
        <v>85</v>
      </c>
      <c r="S936" t="s">
        <v>457</v>
      </c>
      <c r="U936" t="str">
        <f t="shared" si="42"/>
        <v>N km direction of city</v>
      </c>
      <c r="V936" t="str">
        <f t="shared" si="43"/>
        <v>mwc</v>
      </c>
      <c r="X936">
        <f t="shared" si="44"/>
        <v>1997</v>
      </c>
    </row>
    <row r="937" spans="1:24">
      <c r="A937" t="s">
        <v>1506</v>
      </c>
      <c r="B937">
        <v>7.2</v>
      </c>
      <c r="C937" s="1">
        <v>35441.852777777778</v>
      </c>
      <c r="D937">
        <v>0</v>
      </c>
      <c r="E937">
        <v>7</v>
      </c>
      <c r="G937">
        <v>0</v>
      </c>
      <c r="H937">
        <v>798</v>
      </c>
      <c r="I937" t="s">
        <v>46</v>
      </c>
      <c r="J937">
        <v>0</v>
      </c>
      <c r="K937">
        <v>0</v>
      </c>
      <c r="L937">
        <v>0</v>
      </c>
      <c r="M937" t="s">
        <v>12</v>
      </c>
      <c r="N937">
        <v>33</v>
      </c>
      <c r="O937">
        <v>18.219000000000001</v>
      </c>
      <c r="P937">
        <v>-102.756</v>
      </c>
      <c r="Q937" t="s">
        <v>835</v>
      </c>
      <c r="R937" t="s">
        <v>139</v>
      </c>
      <c r="S937" t="s">
        <v>140</v>
      </c>
      <c r="U937" t="str">
        <f t="shared" si="42"/>
        <v>N km direction of city</v>
      </c>
      <c r="V937" t="str">
        <f t="shared" si="43"/>
        <v>mwb</v>
      </c>
      <c r="X937">
        <f t="shared" si="44"/>
        <v>1997</v>
      </c>
    </row>
    <row r="938" spans="1:24">
      <c r="A938" t="s">
        <v>1507</v>
      </c>
      <c r="B938">
        <v>6.5</v>
      </c>
      <c r="C938" s="1">
        <v>35421.620138888888</v>
      </c>
      <c r="D938">
        <v>0</v>
      </c>
      <c r="E938">
        <v>4</v>
      </c>
      <c r="G938">
        <v>0</v>
      </c>
      <c r="H938">
        <v>650</v>
      </c>
      <c r="I938" t="s">
        <v>46</v>
      </c>
      <c r="J938">
        <v>0</v>
      </c>
      <c r="K938">
        <v>0</v>
      </c>
      <c r="L938">
        <v>0</v>
      </c>
      <c r="M938" t="s">
        <v>13</v>
      </c>
      <c r="N938">
        <v>226.5</v>
      </c>
      <c r="O938">
        <v>43.207000000000001</v>
      </c>
      <c r="P938">
        <v>138.91999999999999</v>
      </c>
      <c r="Q938" t="s">
        <v>1508</v>
      </c>
      <c r="U938" t="str">
        <f t="shared" si="42"/>
        <v>N km direction of city</v>
      </c>
      <c r="V938" t="str">
        <f t="shared" si="43"/>
        <v>mwc</v>
      </c>
      <c r="X938">
        <f t="shared" si="44"/>
        <v>1996</v>
      </c>
    </row>
    <row r="939" spans="1:24">
      <c r="A939" t="s">
        <v>1509</v>
      </c>
      <c r="B939">
        <v>6.7</v>
      </c>
      <c r="C939" s="1">
        <v>35401.928472222222</v>
      </c>
      <c r="D939">
        <v>0</v>
      </c>
      <c r="E939">
        <v>6</v>
      </c>
      <c r="G939">
        <v>0</v>
      </c>
      <c r="H939">
        <v>691</v>
      </c>
      <c r="I939" t="s">
        <v>46</v>
      </c>
      <c r="J939">
        <v>0</v>
      </c>
      <c r="K939">
        <v>0</v>
      </c>
      <c r="L939">
        <v>0</v>
      </c>
      <c r="M939" t="s">
        <v>13</v>
      </c>
      <c r="N939">
        <v>49.2</v>
      </c>
      <c r="O939">
        <v>31.789000000000001</v>
      </c>
      <c r="P939">
        <v>131.31399999999999</v>
      </c>
      <c r="Q939" t="s">
        <v>1510</v>
      </c>
      <c r="R939" t="s">
        <v>85</v>
      </c>
      <c r="S939" t="s">
        <v>243</v>
      </c>
      <c r="U939" t="str">
        <f t="shared" si="42"/>
        <v>N km direction of city</v>
      </c>
      <c r="V939" t="str">
        <f t="shared" si="43"/>
        <v>mwc</v>
      </c>
      <c r="X939">
        <f t="shared" si="44"/>
        <v>1996</v>
      </c>
    </row>
    <row r="940" spans="1:24">
      <c r="A940" t="s">
        <v>1511</v>
      </c>
      <c r="B940">
        <v>6.9</v>
      </c>
      <c r="C940" s="1">
        <v>35388.447222222218</v>
      </c>
      <c r="D940">
        <v>0</v>
      </c>
      <c r="E940">
        <v>7</v>
      </c>
      <c r="G940">
        <v>0</v>
      </c>
      <c r="H940">
        <v>732</v>
      </c>
      <c r="I940" t="s">
        <v>46</v>
      </c>
      <c r="J940">
        <v>0</v>
      </c>
      <c r="K940">
        <v>0</v>
      </c>
      <c r="L940">
        <v>0</v>
      </c>
      <c r="M940" t="s">
        <v>13</v>
      </c>
      <c r="N940">
        <v>33</v>
      </c>
      <c r="O940">
        <v>35.344999999999999</v>
      </c>
      <c r="P940">
        <v>78.132999999999996</v>
      </c>
      <c r="Q940" t="s">
        <v>1512</v>
      </c>
      <c r="R940" t="s">
        <v>85</v>
      </c>
      <c r="S940" t="s">
        <v>153</v>
      </c>
      <c r="U940" t="str">
        <f t="shared" si="42"/>
        <v>N km direction of city</v>
      </c>
      <c r="V940" t="str">
        <f t="shared" si="43"/>
        <v>mwc</v>
      </c>
      <c r="X940">
        <f t="shared" si="44"/>
        <v>1996</v>
      </c>
    </row>
    <row r="941" spans="1:24">
      <c r="A941" t="s">
        <v>1513</v>
      </c>
      <c r="B941">
        <v>7.7</v>
      </c>
      <c r="C941" s="1">
        <v>35381.707638888889</v>
      </c>
      <c r="D941">
        <v>0</v>
      </c>
      <c r="E941">
        <v>7</v>
      </c>
      <c r="G941">
        <v>0</v>
      </c>
      <c r="H941">
        <v>912</v>
      </c>
      <c r="I941" t="s">
        <v>46</v>
      </c>
      <c r="J941">
        <v>0</v>
      </c>
      <c r="K941">
        <v>0</v>
      </c>
      <c r="L941">
        <v>0</v>
      </c>
      <c r="M941" t="s">
        <v>13</v>
      </c>
      <c r="N941">
        <v>33</v>
      </c>
      <c r="O941">
        <v>-14.993</v>
      </c>
      <c r="P941">
        <v>-75.674999999999997</v>
      </c>
      <c r="Q941" t="s">
        <v>1514</v>
      </c>
      <c r="S941" t="s">
        <v>164</v>
      </c>
      <c r="U941" t="str">
        <f t="shared" si="42"/>
        <v>N km direction of city</v>
      </c>
      <c r="V941" t="str">
        <f t="shared" si="43"/>
        <v>mwc</v>
      </c>
      <c r="X941">
        <f t="shared" si="44"/>
        <v>1996</v>
      </c>
    </row>
    <row r="942" spans="1:24">
      <c r="A942" t="s">
        <v>1515</v>
      </c>
      <c r="B942">
        <v>6.7</v>
      </c>
      <c r="C942" s="1">
        <v>35357.613888888889</v>
      </c>
      <c r="D942">
        <v>0</v>
      </c>
      <c r="E942">
        <v>7</v>
      </c>
      <c r="G942">
        <v>0</v>
      </c>
      <c r="H942">
        <v>691</v>
      </c>
      <c r="I942" t="s">
        <v>46</v>
      </c>
      <c r="J942">
        <v>0</v>
      </c>
      <c r="K942">
        <v>0</v>
      </c>
      <c r="L942">
        <v>0</v>
      </c>
      <c r="M942" t="s">
        <v>13</v>
      </c>
      <c r="N942">
        <v>22</v>
      </c>
      <c r="O942">
        <v>31.885000000000002</v>
      </c>
      <c r="P942">
        <v>131.46799999999999</v>
      </c>
      <c r="Q942" t="s">
        <v>1510</v>
      </c>
      <c r="R942" t="s">
        <v>85</v>
      </c>
      <c r="S942" t="s">
        <v>243</v>
      </c>
      <c r="U942" t="str">
        <f t="shared" si="42"/>
        <v>N km direction of city</v>
      </c>
      <c r="V942" t="str">
        <f t="shared" si="43"/>
        <v>mwc</v>
      </c>
      <c r="X942">
        <f t="shared" si="44"/>
        <v>1996</v>
      </c>
    </row>
    <row r="943" spans="1:24">
      <c r="A943" t="s">
        <v>1516</v>
      </c>
      <c r="B943">
        <v>6.6</v>
      </c>
      <c r="C943" s="1">
        <v>35356.451388888891</v>
      </c>
      <c r="D943">
        <v>0</v>
      </c>
      <c r="E943">
        <v>7</v>
      </c>
      <c r="G943">
        <v>0</v>
      </c>
      <c r="H943">
        <v>670</v>
      </c>
      <c r="I943" t="s">
        <v>46</v>
      </c>
      <c r="J943">
        <v>0</v>
      </c>
      <c r="K943">
        <v>0</v>
      </c>
      <c r="L943">
        <v>0</v>
      </c>
      <c r="M943" t="s">
        <v>13</v>
      </c>
      <c r="N943">
        <v>10</v>
      </c>
      <c r="O943">
        <v>30.568000000000001</v>
      </c>
      <c r="P943">
        <v>131.09299999999999</v>
      </c>
      <c r="Q943" t="s">
        <v>1517</v>
      </c>
      <c r="R943" t="s">
        <v>85</v>
      </c>
      <c r="S943" t="s">
        <v>243</v>
      </c>
      <c r="U943" t="str">
        <f t="shared" si="42"/>
        <v>N km direction of city</v>
      </c>
      <c r="V943" t="str">
        <f t="shared" si="43"/>
        <v>mwc</v>
      </c>
      <c r="X943">
        <f t="shared" si="44"/>
        <v>1996</v>
      </c>
    </row>
    <row r="944" spans="1:24">
      <c r="A944" t="s">
        <v>1518</v>
      </c>
      <c r="B944">
        <v>6.8</v>
      </c>
      <c r="C944" s="1">
        <v>35352.976388888892</v>
      </c>
      <c r="D944">
        <v>0</v>
      </c>
      <c r="E944">
        <v>6</v>
      </c>
      <c r="G944">
        <v>0</v>
      </c>
      <c r="H944">
        <v>711</v>
      </c>
      <c r="I944" t="s">
        <v>46</v>
      </c>
      <c r="J944">
        <v>0</v>
      </c>
      <c r="K944">
        <v>0</v>
      </c>
      <c r="L944">
        <v>0</v>
      </c>
      <c r="M944" t="s">
        <v>13</v>
      </c>
      <c r="N944">
        <v>24</v>
      </c>
      <c r="O944">
        <v>-7.133</v>
      </c>
      <c r="P944">
        <v>155.56800000000001</v>
      </c>
      <c r="Q944" t="s">
        <v>506</v>
      </c>
      <c r="S944" t="s">
        <v>124</v>
      </c>
      <c r="U944" t="str">
        <f t="shared" si="42"/>
        <v>N km direction of city</v>
      </c>
      <c r="V944" t="str">
        <f t="shared" si="43"/>
        <v>mwc</v>
      </c>
      <c r="X944">
        <f t="shared" si="44"/>
        <v>1996</v>
      </c>
    </row>
    <row r="945" spans="1:24">
      <c r="A945" t="s">
        <v>1519</v>
      </c>
      <c r="B945">
        <v>6.8</v>
      </c>
      <c r="C945" s="1">
        <v>35347.548611111109</v>
      </c>
      <c r="D945">
        <v>0</v>
      </c>
      <c r="E945">
        <v>6</v>
      </c>
      <c r="G945">
        <v>0</v>
      </c>
      <c r="H945">
        <v>711</v>
      </c>
      <c r="I945" t="s">
        <v>46</v>
      </c>
      <c r="J945">
        <v>0</v>
      </c>
      <c r="K945">
        <v>0</v>
      </c>
      <c r="L945">
        <v>0</v>
      </c>
      <c r="M945" t="s">
        <v>13</v>
      </c>
      <c r="N945">
        <v>33</v>
      </c>
      <c r="O945">
        <v>34.555999999999997</v>
      </c>
      <c r="P945">
        <v>32.125999999999998</v>
      </c>
      <c r="Q945" t="s">
        <v>1520</v>
      </c>
      <c r="R945" t="s">
        <v>85</v>
      </c>
      <c r="U945" t="str">
        <f t="shared" si="42"/>
        <v>N km direction of city</v>
      </c>
      <c r="V945" t="str">
        <f t="shared" si="43"/>
        <v>mwc</v>
      </c>
      <c r="X945">
        <f t="shared" si="44"/>
        <v>1996</v>
      </c>
    </row>
    <row r="946" spans="1:24">
      <c r="A946" t="s">
        <v>1521</v>
      </c>
      <c r="B946">
        <v>6.6</v>
      </c>
      <c r="C946" s="1">
        <v>35328.174305555563</v>
      </c>
      <c r="D946">
        <v>0</v>
      </c>
      <c r="E946">
        <v>6</v>
      </c>
      <c r="G946">
        <v>0</v>
      </c>
      <c r="H946">
        <v>670</v>
      </c>
      <c r="I946" t="s">
        <v>46</v>
      </c>
      <c r="J946">
        <v>0</v>
      </c>
      <c r="K946">
        <v>0</v>
      </c>
      <c r="L946">
        <v>0</v>
      </c>
      <c r="M946" t="s">
        <v>13</v>
      </c>
      <c r="N946">
        <v>33</v>
      </c>
      <c r="O946">
        <v>9.4540000000000006</v>
      </c>
      <c r="P946">
        <v>126.334</v>
      </c>
      <c r="Q946" t="s">
        <v>1522</v>
      </c>
      <c r="S946" t="s">
        <v>158</v>
      </c>
      <c r="U946" t="str">
        <f t="shared" si="42"/>
        <v>N km direction of city</v>
      </c>
      <c r="V946" t="str">
        <f t="shared" si="43"/>
        <v>mwc</v>
      </c>
      <c r="X946">
        <f t="shared" si="44"/>
        <v>1996</v>
      </c>
    </row>
    <row r="947" spans="1:24">
      <c r="A947" t="s">
        <v>1523</v>
      </c>
      <c r="B947">
        <v>6.6</v>
      </c>
      <c r="C947" s="1">
        <v>35328.173611111109</v>
      </c>
      <c r="D947">
        <v>0</v>
      </c>
      <c r="E947">
        <v>6</v>
      </c>
      <c r="G947">
        <v>0</v>
      </c>
      <c r="H947">
        <v>670</v>
      </c>
      <c r="I947" t="s">
        <v>46</v>
      </c>
      <c r="J947">
        <v>0</v>
      </c>
      <c r="K947">
        <v>0</v>
      </c>
      <c r="L947">
        <v>0</v>
      </c>
      <c r="M947" t="s">
        <v>13</v>
      </c>
      <c r="N947">
        <v>33</v>
      </c>
      <c r="O947">
        <v>9.4629999999999992</v>
      </c>
      <c r="P947">
        <v>126.28400000000001</v>
      </c>
      <c r="Q947" t="s">
        <v>1522</v>
      </c>
      <c r="S947" t="s">
        <v>158</v>
      </c>
      <c r="U947" t="str">
        <f t="shared" si="42"/>
        <v>N km direction of city</v>
      </c>
      <c r="V947" t="str">
        <f t="shared" si="43"/>
        <v>mwc</v>
      </c>
      <c r="X947">
        <f t="shared" si="44"/>
        <v>1996</v>
      </c>
    </row>
    <row r="948" spans="1:24">
      <c r="A948" t="s">
        <v>1524</v>
      </c>
      <c r="B948">
        <v>6.8</v>
      </c>
      <c r="C948" s="1">
        <v>35313.987500000003</v>
      </c>
      <c r="D948">
        <v>0</v>
      </c>
      <c r="E948">
        <v>6</v>
      </c>
      <c r="G948">
        <v>0</v>
      </c>
      <c r="H948">
        <v>711</v>
      </c>
      <c r="I948" t="s">
        <v>46</v>
      </c>
      <c r="J948">
        <v>0</v>
      </c>
      <c r="K948">
        <v>0</v>
      </c>
      <c r="L948">
        <v>0</v>
      </c>
      <c r="M948" t="s">
        <v>13</v>
      </c>
      <c r="N948">
        <v>20</v>
      </c>
      <c r="O948">
        <v>21.898</v>
      </c>
      <c r="P948">
        <v>121.498</v>
      </c>
      <c r="Q948" t="s">
        <v>1093</v>
      </c>
      <c r="S948" t="s">
        <v>144</v>
      </c>
      <c r="U948" t="str">
        <f t="shared" si="42"/>
        <v>N km direction of city</v>
      </c>
      <c r="V948" t="str">
        <f t="shared" si="43"/>
        <v>mwc</v>
      </c>
      <c r="X948">
        <f t="shared" si="44"/>
        <v>1996</v>
      </c>
    </row>
    <row r="949" spans="1:24">
      <c r="A949" t="s">
        <v>1525</v>
      </c>
      <c r="B949">
        <v>6.9</v>
      </c>
      <c r="C949" s="1">
        <v>35279.538194444453</v>
      </c>
      <c r="D949">
        <v>0</v>
      </c>
      <c r="E949">
        <v>6</v>
      </c>
      <c r="G949">
        <v>0</v>
      </c>
      <c r="H949">
        <v>732</v>
      </c>
      <c r="I949" t="s">
        <v>46</v>
      </c>
      <c r="J949">
        <v>0</v>
      </c>
      <c r="K949">
        <v>0</v>
      </c>
      <c r="L949">
        <v>0</v>
      </c>
      <c r="M949" t="s">
        <v>13</v>
      </c>
      <c r="N949">
        <v>33</v>
      </c>
      <c r="O949">
        <v>-10.769</v>
      </c>
      <c r="P949">
        <v>161.44499999999999</v>
      </c>
      <c r="Q949" t="s">
        <v>406</v>
      </c>
      <c r="S949" t="s">
        <v>124</v>
      </c>
      <c r="U949" t="str">
        <f t="shared" si="42"/>
        <v>N km direction of city</v>
      </c>
      <c r="V949" t="str">
        <f t="shared" si="43"/>
        <v>mwc</v>
      </c>
      <c r="X949">
        <f t="shared" si="44"/>
        <v>1996</v>
      </c>
    </row>
    <row r="950" spans="1:24">
      <c r="A950" t="s">
        <v>1526</v>
      </c>
      <c r="B950">
        <v>7</v>
      </c>
      <c r="C950" s="1">
        <v>35268.59652777778</v>
      </c>
      <c r="D950">
        <v>0</v>
      </c>
      <c r="E950">
        <v>6</v>
      </c>
      <c r="G950">
        <v>0</v>
      </c>
      <c r="H950">
        <v>754</v>
      </c>
      <c r="I950" t="s">
        <v>46</v>
      </c>
      <c r="J950">
        <v>0</v>
      </c>
      <c r="K950">
        <v>0</v>
      </c>
      <c r="L950">
        <v>0</v>
      </c>
      <c r="M950" t="s">
        <v>13</v>
      </c>
      <c r="N950">
        <v>33</v>
      </c>
      <c r="O950">
        <v>1</v>
      </c>
      <c r="P950">
        <v>120.45</v>
      </c>
      <c r="Q950" t="s">
        <v>402</v>
      </c>
      <c r="S950" t="s">
        <v>77</v>
      </c>
      <c r="U950" t="str">
        <f t="shared" si="42"/>
        <v>N km direction of city</v>
      </c>
      <c r="V950" t="str">
        <f t="shared" si="43"/>
        <v>mwc</v>
      </c>
      <c r="X950">
        <f t="shared" si="44"/>
        <v>1996</v>
      </c>
    </row>
    <row r="951" spans="1:24">
      <c r="A951" t="s">
        <v>1527</v>
      </c>
      <c r="B951">
        <v>6.6</v>
      </c>
      <c r="C951" s="1">
        <v>35262.421527777777</v>
      </c>
      <c r="D951">
        <v>0</v>
      </c>
      <c r="E951">
        <v>6</v>
      </c>
      <c r="G951">
        <v>0</v>
      </c>
      <c r="H951">
        <v>670</v>
      </c>
      <c r="I951" t="s">
        <v>46</v>
      </c>
      <c r="J951">
        <v>0</v>
      </c>
      <c r="K951">
        <v>0</v>
      </c>
      <c r="L951">
        <v>0</v>
      </c>
      <c r="M951" t="s">
        <v>12</v>
      </c>
      <c r="N951">
        <v>33</v>
      </c>
      <c r="O951">
        <v>1.016</v>
      </c>
      <c r="P951">
        <v>120.254</v>
      </c>
      <c r="Q951" t="s">
        <v>402</v>
      </c>
      <c r="S951" t="s">
        <v>77</v>
      </c>
      <c r="U951" t="str">
        <f t="shared" si="42"/>
        <v>N km direction of city</v>
      </c>
      <c r="V951" t="str">
        <f t="shared" si="43"/>
        <v>mwb</v>
      </c>
      <c r="X951">
        <f t="shared" si="44"/>
        <v>1996</v>
      </c>
    </row>
    <row r="952" spans="1:24">
      <c r="A952" t="s">
        <v>1528</v>
      </c>
      <c r="B952">
        <v>6.8</v>
      </c>
      <c r="C952" s="1">
        <v>35261.890972222223</v>
      </c>
      <c r="D952">
        <v>0</v>
      </c>
      <c r="E952">
        <v>6</v>
      </c>
      <c r="G952">
        <v>0</v>
      </c>
      <c r="H952">
        <v>711</v>
      </c>
      <c r="I952" t="s">
        <v>46</v>
      </c>
      <c r="J952">
        <v>0</v>
      </c>
      <c r="K952">
        <v>0</v>
      </c>
      <c r="L952">
        <v>0</v>
      </c>
      <c r="M952" t="s">
        <v>12</v>
      </c>
      <c r="N952">
        <v>18.3</v>
      </c>
      <c r="O952">
        <v>17.600000000000001</v>
      </c>
      <c r="P952">
        <v>-100.965</v>
      </c>
      <c r="Q952" t="s">
        <v>700</v>
      </c>
      <c r="R952" t="s">
        <v>139</v>
      </c>
      <c r="S952" t="s">
        <v>140</v>
      </c>
      <c r="U952" t="str">
        <f t="shared" si="42"/>
        <v>N km direction of city</v>
      </c>
      <c r="V952" t="str">
        <f t="shared" si="43"/>
        <v>mwb</v>
      </c>
      <c r="X952">
        <f t="shared" si="44"/>
        <v>1996</v>
      </c>
    </row>
    <row r="953" spans="1:24">
      <c r="A953" t="s">
        <v>1529</v>
      </c>
      <c r="B953">
        <v>7.9</v>
      </c>
      <c r="C953" s="1">
        <v>35233.473611111112</v>
      </c>
      <c r="D953">
        <v>0</v>
      </c>
      <c r="E953">
        <v>4</v>
      </c>
      <c r="G953">
        <v>0</v>
      </c>
      <c r="H953">
        <v>960</v>
      </c>
      <c r="I953" t="s">
        <v>46</v>
      </c>
      <c r="J953">
        <v>0</v>
      </c>
      <c r="K953">
        <v>0</v>
      </c>
      <c r="L953">
        <v>0</v>
      </c>
      <c r="M953" t="s">
        <v>13</v>
      </c>
      <c r="N953">
        <v>587.29999999999995</v>
      </c>
      <c r="O953">
        <v>-7.1369999999999996</v>
      </c>
      <c r="P953">
        <v>122.589</v>
      </c>
      <c r="Q953" t="s">
        <v>464</v>
      </c>
      <c r="S953" t="s">
        <v>77</v>
      </c>
      <c r="U953" t="str">
        <f t="shared" si="42"/>
        <v>N km direction of city</v>
      </c>
      <c r="V953" t="str">
        <f t="shared" si="43"/>
        <v>mwc</v>
      </c>
      <c r="X953">
        <f t="shared" si="44"/>
        <v>1996</v>
      </c>
    </row>
    <row r="954" spans="1:24">
      <c r="A954" t="s">
        <v>1530</v>
      </c>
      <c r="B954">
        <v>7.1</v>
      </c>
      <c r="C954" s="1">
        <v>35227.765277777777</v>
      </c>
      <c r="D954">
        <v>0</v>
      </c>
      <c r="E954">
        <v>6</v>
      </c>
      <c r="G954">
        <v>0</v>
      </c>
      <c r="H954">
        <v>776</v>
      </c>
      <c r="I954" t="s">
        <v>46</v>
      </c>
      <c r="J954">
        <v>0</v>
      </c>
      <c r="K954">
        <v>0</v>
      </c>
      <c r="L954">
        <v>0</v>
      </c>
      <c r="M954" t="s">
        <v>13</v>
      </c>
      <c r="N954">
        <v>33</v>
      </c>
      <c r="O954">
        <v>12.614000000000001</v>
      </c>
      <c r="P954">
        <v>125.154</v>
      </c>
      <c r="Q954" t="s">
        <v>1531</v>
      </c>
      <c r="S954" t="s">
        <v>158</v>
      </c>
      <c r="U954" t="str">
        <f t="shared" si="42"/>
        <v>N km direction of city</v>
      </c>
      <c r="V954" t="str">
        <f t="shared" si="43"/>
        <v>mwc</v>
      </c>
      <c r="X954">
        <f t="shared" si="44"/>
        <v>1996</v>
      </c>
    </row>
    <row r="955" spans="1:24">
      <c r="A955" t="s">
        <v>1532</v>
      </c>
      <c r="B955">
        <v>7.3</v>
      </c>
      <c r="C955" s="1">
        <v>35226.64166666667</v>
      </c>
      <c r="D955">
        <v>0</v>
      </c>
      <c r="E955">
        <v>7</v>
      </c>
      <c r="G955">
        <v>0</v>
      </c>
      <c r="H955">
        <v>820</v>
      </c>
      <c r="I955" t="s">
        <v>46</v>
      </c>
      <c r="J955">
        <v>0</v>
      </c>
      <c r="K955">
        <v>0</v>
      </c>
      <c r="L955">
        <v>0</v>
      </c>
      <c r="M955" t="s">
        <v>13</v>
      </c>
      <c r="N955">
        <v>26.3</v>
      </c>
      <c r="O955">
        <v>51.478000000000002</v>
      </c>
      <c r="P955">
        <v>-176.84700000000001</v>
      </c>
      <c r="Q955" t="s">
        <v>423</v>
      </c>
      <c r="R955" t="s">
        <v>139</v>
      </c>
      <c r="S955" t="s">
        <v>204</v>
      </c>
      <c r="U955" t="str">
        <f t="shared" si="42"/>
        <v>N km direction of city</v>
      </c>
      <c r="V955" t="str">
        <f t="shared" si="43"/>
        <v>mwc</v>
      </c>
      <c r="X955">
        <f t="shared" si="44"/>
        <v>1996</v>
      </c>
    </row>
    <row r="956" spans="1:24">
      <c r="A956" t="s">
        <v>1533</v>
      </c>
      <c r="B956">
        <v>7.9</v>
      </c>
      <c r="C956" s="1">
        <v>35226.168749999997</v>
      </c>
      <c r="D956">
        <v>0</v>
      </c>
      <c r="E956">
        <v>7</v>
      </c>
      <c r="G956">
        <v>0</v>
      </c>
      <c r="H956">
        <v>960</v>
      </c>
      <c r="I956" t="s">
        <v>46</v>
      </c>
      <c r="J956">
        <v>0</v>
      </c>
      <c r="K956">
        <v>0</v>
      </c>
      <c r="L956">
        <v>0</v>
      </c>
      <c r="M956" t="s">
        <v>13</v>
      </c>
      <c r="N956">
        <v>33</v>
      </c>
      <c r="O956">
        <v>51.564</v>
      </c>
      <c r="P956">
        <v>-177.63200000000001</v>
      </c>
      <c r="Q956" t="s">
        <v>423</v>
      </c>
      <c r="R956" t="s">
        <v>139</v>
      </c>
      <c r="S956" t="s">
        <v>204</v>
      </c>
      <c r="U956" t="str">
        <f t="shared" si="42"/>
        <v>N km direction of city</v>
      </c>
      <c r="V956" t="str">
        <f t="shared" si="43"/>
        <v>mwc</v>
      </c>
      <c r="X956">
        <f t="shared" si="44"/>
        <v>1996</v>
      </c>
    </row>
    <row r="957" spans="1:24">
      <c r="A957" t="s">
        <v>1534</v>
      </c>
      <c r="B957">
        <v>6.7</v>
      </c>
      <c r="C957" s="1">
        <v>35226.044444444437</v>
      </c>
      <c r="D957">
        <v>0</v>
      </c>
      <c r="E957">
        <v>4</v>
      </c>
      <c r="G957">
        <v>0</v>
      </c>
      <c r="H957">
        <v>691</v>
      </c>
      <c r="I957" t="s">
        <v>46</v>
      </c>
      <c r="J957">
        <v>0</v>
      </c>
      <c r="K957">
        <v>0</v>
      </c>
      <c r="L957">
        <v>0</v>
      </c>
      <c r="M957" t="s">
        <v>13</v>
      </c>
      <c r="N957">
        <v>200.1</v>
      </c>
      <c r="O957">
        <v>-13.481</v>
      </c>
      <c r="P957">
        <v>167.13</v>
      </c>
      <c r="Q957" t="s">
        <v>47</v>
      </c>
      <c r="S957" t="s">
        <v>48</v>
      </c>
      <c r="U957" t="str">
        <f t="shared" si="42"/>
        <v>N km direction of city</v>
      </c>
      <c r="V957" t="str">
        <f t="shared" si="43"/>
        <v>mwc</v>
      </c>
      <c r="X957">
        <f t="shared" si="44"/>
        <v>1996</v>
      </c>
    </row>
    <row r="958" spans="1:24">
      <c r="A958" t="s">
        <v>1535</v>
      </c>
      <c r="B958">
        <v>7.2</v>
      </c>
      <c r="C958" s="1">
        <v>35184.611111111109</v>
      </c>
      <c r="D958">
        <v>0</v>
      </c>
      <c r="E958">
        <v>6</v>
      </c>
      <c r="G958">
        <v>0</v>
      </c>
      <c r="H958">
        <v>798</v>
      </c>
      <c r="I958" t="s">
        <v>46</v>
      </c>
      <c r="J958">
        <v>0</v>
      </c>
      <c r="K958">
        <v>0</v>
      </c>
      <c r="L958">
        <v>0</v>
      </c>
      <c r="M958" t="s">
        <v>13</v>
      </c>
      <c r="N958">
        <v>44</v>
      </c>
      <c r="O958">
        <v>-6.5179999999999998</v>
      </c>
      <c r="P958">
        <v>154.999</v>
      </c>
      <c r="Q958" t="s">
        <v>506</v>
      </c>
      <c r="S958" t="s">
        <v>89</v>
      </c>
      <c r="U958" t="str">
        <f t="shared" si="42"/>
        <v>N km direction of city</v>
      </c>
      <c r="V958" t="str">
        <f t="shared" si="43"/>
        <v>mwc</v>
      </c>
      <c r="X958">
        <f t="shared" si="44"/>
        <v>1996</v>
      </c>
    </row>
    <row r="959" spans="1:24">
      <c r="A959" t="s">
        <v>1536</v>
      </c>
      <c r="B959">
        <v>6.6</v>
      </c>
      <c r="C959" s="1">
        <v>35174.013194444437</v>
      </c>
      <c r="D959">
        <v>0</v>
      </c>
      <c r="E959">
        <v>7</v>
      </c>
      <c r="G959">
        <v>0</v>
      </c>
      <c r="H959">
        <v>670</v>
      </c>
      <c r="I959" t="s">
        <v>46</v>
      </c>
      <c r="J959">
        <v>0</v>
      </c>
      <c r="K959">
        <v>0</v>
      </c>
      <c r="L959">
        <v>0</v>
      </c>
      <c r="M959" t="s">
        <v>12</v>
      </c>
      <c r="N959">
        <v>49.5</v>
      </c>
      <c r="O959">
        <v>-23.943999999999999</v>
      </c>
      <c r="P959">
        <v>-70.093000000000004</v>
      </c>
      <c r="Q959" t="s">
        <v>1040</v>
      </c>
      <c r="R959" t="s">
        <v>53</v>
      </c>
      <c r="S959" t="s">
        <v>275</v>
      </c>
      <c r="U959" t="str">
        <f t="shared" si="42"/>
        <v>N km direction of city</v>
      </c>
      <c r="V959" t="str">
        <f t="shared" si="43"/>
        <v>mwb</v>
      </c>
      <c r="X959">
        <f t="shared" si="44"/>
        <v>1996</v>
      </c>
    </row>
    <row r="960" spans="1:24">
      <c r="A960" t="s">
        <v>1537</v>
      </c>
      <c r="B960">
        <v>6.7</v>
      </c>
      <c r="C960" s="1">
        <v>35141.616666666669</v>
      </c>
      <c r="D960">
        <v>0</v>
      </c>
      <c r="E960">
        <v>5</v>
      </c>
      <c r="G960">
        <v>0</v>
      </c>
      <c r="H960">
        <v>691</v>
      </c>
      <c r="I960" t="s">
        <v>46</v>
      </c>
      <c r="J960">
        <v>0</v>
      </c>
      <c r="K960">
        <v>0</v>
      </c>
      <c r="L960">
        <v>0</v>
      </c>
      <c r="M960" t="s">
        <v>13</v>
      </c>
      <c r="N960">
        <v>164.4</v>
      </c>
      <c r="O960">
        <v>-14.705</v>
      </c>
      <c r="P960">
        <v>167.297</v>
      </c>
      <c r="Q960" t="s">
        <v>101</v>
      </c>
      <c r="S960" t="s">
        <v>48</v>
      </c>
      <c r="U960" t="str">
        <f t="shared" si="42"/>
        <v>N km direction of city</v>
      </c>
      <c r="V960" t="str">
        <f t="shared" si="43"/>
        <v>mwc</v>
      </c>
      <c r="X960">
        <f t="shared" si="44"/>
        <v>1996</v>
      </c>
    </row>
    <row r="961" spans="1:24">
      <c r="A961" t="s">
        <v>1538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46</v>
      </c>
      <c r="J961">
        <v>0</v>
      </c>
      <c r="K961">
        <v>0</v>
      </c>
      <c r="L961">
        <v>0</v>
      </c>
      <c r="M961" t="s">
        <v>13</v>
      </c>
      <c r="N961">
        <v>33</v>
      </c>
      <c r="O961">
        <v>11.904999999999999</v>
      </c>
      <c r="P961">
        <v>-86.772000000000006</v>
      </c>
      <c r="Q961" t="s">
        <v>1539</v>
      </c>
      <c r="S961" t="s">
        <v>706</v>
      </c>
      <c r="U961" t="str">
        <f t="shared" si="42"/>
        <v>N km direction of city</v>
      </c>
      <c r="V961" t="str">
        <f t="shared" si="43"/>
        <v>mwc</v>
      </c>
      <c r="X961">
        <f t="shared" si="44"/>
        <v>1996</v>
      </c>
    </row>
    <row r="962" spans="1:24">
      <c r="A962" t="s">
        <v>1540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46</v>
      </c>
      <c r="J962">
        <v>0</v>
      </c>
      <c r="K962">
        <v>0</v>
      </c>
      <c r="L962">
        <v>0</v>
      </c>
      <c r="M962" t="s">
        <v>13</v>
      </c>
      <c r="N962">
        <v>33</v>
      </c>
      <c r="O962">
        <v>11.657</v>
      </c>
      <c r="P962">
        <v>-86.855999999999995</v>
      </c>
      <c r="Q962" t="s">
        <v>168</v>
      </c>
      <c r="U962" t="str">
        <f t="shared" ref="U962:U1001" si="45">IF(ISNUMBER(SEARCH("km",A962)),"N km direction of city","Named-region")</f>
        <v>N km direction of city</v>
      </c>
      <c r="V962" t="str">
        <f t="shared" ref="V962:V1001" si="46">LOWER(M962)</f>
        <v>mwc</v>
      </c>
      <c r="X962">
        <f t="shared" ref="X962:X1001" si="47">YEAR(C962)</f>
        <v>1996</v>
      </c>
    </row>
    <row r="963" spans="1:24">
      <c r="A963" t="s">
        <v>1541</v>
      </c>
      <c r="B963">
        <v>7.1</v>
      </c>
      <c r="C963" s="1">
        <v>35120.130555555559</v>
      </c>
      <c r="D963">
        <v>0</v>
      </c>
      <c r="E963">
        <v>7</v>
      </c>
      <c r="G963">
        <v>0</v>
      </c>
      <c r="H963">
        <v>776</v>
      </c>
      <c r="I963" t="s">
        <v>46</v>
      </c>
      <c r="J963">
        <v>0</v>
      </c>
      <c r="K963">
        <v>0</v>
      </c>
      <c r="L963">
        <v>0</v>
      </c>
      <c r="M963" t="s">
        <v>11</v>
      </c>
      <c r="N963">
        <v>21.1</v>
      </c>
      <c r="O963">
        <v>15.978</v>
      </c>
      <c r="P963">
        <v>-98.07</v>
      </c>
      <c r="Q963" t="s">
        <v>1542</v>
      </c>
      <c r="R963" t="s">
        <v>139</v>
      </c>
      <c r="S963" t="s">
        <v>140</v>
      </c>
      <c r="U963" t="str">
        <f t="shared" si="45"/>
        <v>N km direction of city</v>
      </c>
      <c r="V963" t="str">
        <f t="shared" si="46"/>
        <v>mw</v>
      </c>
      <c r="X963">
        <f t="shared" si="47"/>
        <v>1996</v>
      </c>
    </row>
    <row r="964" spans="1:24">
      <c r="A964" t="s">
        <v>1543</v>
      </c>
      <c r="B964">
        <v>7.5</v>
      </c>
      <c r="C964" s="1">
        <v>35116.535416666673</v>
      </c>
      <c r="D964">
        <v>0</v>
      </c>
      <c r="E964">
        <v>6</v>
      </c>
      <c r="G964">
        <v>0</v>
      </c>
      <c r="H964">
        <v>865</v>
      </c>
      <c r="I964" t="s">
        <v>46</v>
      </c>
      <c r="J964">
        <v>0</v>
      </c>
      <c r="K964">
        <v>0</v>
      </c>
      <c r="L964">
        <v>0</v>
      </c>
      <c r="M964" t="s">
        <v>11</v>
      </c>
      <c r="N964">
        <v>10</v>
      </c>
      <c r="O964">
        <v>-9.593</v>
      </c>
      <c r="P964">
        <v>-79.587000000000003</v>
      </c>
      <c r="Q964" t="s">
        <v>1544</v>
      </c>
      <c r="S964" t="s">
        <v>164</v>
      </c>
      <c r="U964" t="str">
        <f t="shared" si="45"/>
        <v>N km direction of city</v>
      </c>
      <c r="V964" t="str">
        <f t="shared" si="46"/>
        <v>mw</v>
      </c>
      <c r="X964">
        <f t="shared" si="47"/>
        <v>1996</v>
      </c>
    </row>
    <row r="965" spans="1:24">
      <c r="A965" t="s">
        <v>1545</v>
      </c>
      <c r="B965">
        <v>6.5</v>
      </c>
      <c r="C965" s="1">
        <v>35112.845833333333</v>
      </c>
      <c r="D965">
        <v>0</v>
      </c>
      <c r="E965">
        <v>6</v>
      </c>
      <c r="G965">
        <v>0</v>
      </c>
      <c r="H965">
        <v>650</v>
      </c>
      <c r="I965" t="s">
        <v>46</v>
      </c>
      <c r="J965">
        <v>0</v>
      </c>
      <c r="K965">
        <v>0</v>
      </c>
      <c r="L965">
        <v>0</v>
      </c>
      <c r="M965" t="s">
        <v>11</v>
      </c>
      <c r="N965">
        <v>31.9</v>
      </c>
      <c r="O965">
        <v>-0.91700000000000004</v>
      </c>
      <c r="P965">
        <v>136.22499999999999</v>
      </c>
      <c r="Q965" t="s">
        <v>928</v>
      </c>
      <c r="S965" t="s">
        <v>77</v>
      </c>
      <c r="U965" t="str">
        <f t="shared" si="45"/>
        <v>N km direction of city</v>
      </c>
      <c r="V965" t="str">
        <f t="shared" si="46"/>
        <v>mw</v>
      </c>
      <c r="X965">
        <f t="shared" si="47"/>
        <v>1996</v>
      </c>
    </row>
    <row r="966" spans="1:24">
      <c r="A966" t="s">
        <v>1546</v>
      </c>
      <c r="B966">
        <v>6.5</v>
      </c>
      <c r="C966" s="1">
        <v>35112.597916666673</v>
      </c>
      <c r="D966">
        <v>0</v>
      </c>
      <c r="E966">
        <v>6</v>
      </c>
      <c r="G966">
        <v>0</v>
      </c>
      <c r="H966">
        <v>650</v>
      </c>
      <c r="I966" t="s">
        <v>46</v>
      </c>
      <c r="J966">
        <v>0</v>
      </c>
      <c r="K966">
        <v>0</v>
      </c>
      <c r="L966">
        <v>0</v>
      </c>
      <c r="M966" t="s">
        <v>11</v>
      </c>
      <c r="N966">
        <v>19.2</v>
      </c>
      <c r="O966">
        <v>-0.56699999999999995</v>
      </c>
      <c r="P966">
        <v>135.84</v>
      </c>
      <c r="Q966" t="s">
        <v>1547</v>
      </c>
      <c r="S966" t="s">
        <v>77</v>
      </c>
      <c r="U966" t="str">
        <f t="shared" si="45"/>
        <v>N km direction of city</v>
      </c>
      <c r="V966" t="str">
        <f t="shared" si="46"/>
        <v>mw</v>
      </c>
      <c r="X966">
        <f t="shared" si="47"/>
        <v>1996</v>
      </c>
    </row>
    <row r="967" spans="1:24">
      <c r="A967" t="s">
        <v>1548</v>
      </c>
      <c r="B967">
        <v>8.09</v>
      </c>
      <c r="C967" s="1">
        <v>35112.249305555553</v>
      </c>
      <c r="D967">
        <v>0</v>
      </c>
      <c r="E967">
        <v>8</v>
      </c>
      <c r="G967">
        <v>0</v>
      </c>
      <c r="H967">
        <v>1007</v>
      </c>
      <c r="I967" t="s">
        <v>839</v>
      </c>
      <c r="J967">
        <v>0</v>
      </c>
      <c r="K967">
        <v>0</v>
      </c>
      <c r="L967">
        <v>0</v>
      </c>
      <c r="M967" t="s">
        <v>14</v>
      </c>
      <c r="N967">
        <v>33</v>
      </c>
      <c r="O967">
        <v>-0.89100000000000001</v>
      </c>
      <c r="P967">
        <v>136.952</v>
      </c>
      <c r="Q967" t="s">
        <v>928</v>
      </c>
      <c r="U967" t="str">
        <f t="shared" si="45"/>
        <v>N km direction of city</v>
      </c>
      <c r="V967" t="str">
        <f t="shared" si="46"/>
        <v>mww</v>
      </c>
      <c r="X967">
        <f t="shared" si="47"/>
        <v>1996</v>
      </c>
    </row>
    <row r="968" spans="1:24">
      <c r="A968" t="s">
        <v>1549</v>
      </c>
      <c r="B968">
        <v>6.7</v>
      </c>
      <c r="C968" s="1">
        <v>35111.640277777777</v>
      </c>
      <c r="D968">
        <v>0</v>
      </c>
      <c r="E968">
        <v>4</v>
      </c>
      <c r="G968">
        <v>0</v>
      </c>
      <c r="H968">
        <v>691</v>
      </c>
      <c r="I968" t="s">
        <v>46</v>
      </c>
      <c r="J968">
        <v>0</v>
      </c>
      <c r="K968">
        <v>0</v>
      </c>
      <c r="L968">
        <v>0</v>
      </c>
      <c r="M968" t="s">
        <v>11</v>
      </c>
      <c r="N968">
        <v>40.799999999999997</v>
      </c>
      <c r="O968">
        <v>37.353000000000002</v>
      </c>
      <c r="P968">
        <v>142.38</v>
      </c>
      <c r="Q968" t="s">
        <v>175</v>
      </c>
      <c r="U968" t="str">
        <f t="shared" si="45"/>
        <v>N km direction of city</v>
      </c>
      <c r="V968" t="str">
        <f t="shared" si="46"/>
        <v>mw</v>
      </c>
      <c r="X968">
        <f t="shared" si="47"/>
        <v>1996</v>
      </c>
    </row>
    <row r="969" spans="1:24">
      <c r="A969" t="s">
        <v>1550</v>
      </c>
      <c r="B969">
        <v>7.2</v>
      </c>
      <c r="C969" s="1">
        <v>35102.9</v>
      </c>
      <c r="D969">
        <v>0</v>
      </c>
      <c r="E969">
        <v>6</v>
      </c>
      <c r="G969">
        <v>0</v>
      </c>
      <c r="H969">
        <v>798</v>
      </c>
      <c r="I969" t="s">
        <v>46</v>
      </c>
      <c r="J969">
        <v>0</v>
      </c>
      <c r="K969">
        <v>0</v>
      </c>
      <c r="L969">
        <v>0</v>
      </c>
      <c r="M969" t="s">
        <v>11</v>
      </c>
      <c r="N969">
        <v>42.6</v>
      </c>
      <c r="O969">
        <v>45.323999999999998</v>
      </c>
      <c r="P969">
        <v>149.892</v>
      </c>
      <c r="Q969" t="s">
        <v>309</v>
      </c>
      <c r="U969" t="str">
        <f t="shared" si="45"/>
        <v>N km direction of city</v>
      </c>
      <c r="V969" t="str">
        <f t="shared" si="46"/>
        <v>mw</v>
      </c>
      <c r="X969">
        <f t="shared" si="47"/>
        <v>1996</v>
      </c>
    </row>
    <row r="970" spans="1:24">
      <c r="A970" t="s">
        <v>1551</v>
      </c>
      <c r="B970">
        <v>6.6</v>
      </c>
      <c r="C970" s="1">
        <v>35098.468055555553</v>
      </c>
      <c r="D970">
        <v>0</v>
      </c>
      <c r="E970">
        <v>10</v>
      </c>
      <c r="G970">
        <v>0</v>
      </c>
      <c r="H970">
        <v>670</v>
      </c>
      <c r="I970" t="s">
        <v>46</v>
      </c>
      <c r="J970">
        <v>0</v>
      </c>
      <c r="K970">
        <v>0</v>
      </c>
      <c r="L970">
        <v>0</v>
      </c>
      <c r="M970" t="s">
        <v>11</v>
      </c>
      <c r="N970">
        <v>11.1</v>
      </c>
      <c r="O970">
        <v>27.291</v>
      </c>
      <c r="P970">
        <v>100.276</v>
      </c>
      <c r="Q970" t="s">
        <v>1552</v>
      </c>
      <c r="R970" t="s">
        <v>85</v>
      </c>
      <c r="S970" t="s">
        <v>153</v>
      </c>
      <c r="U970" t="str">
        <f t="shared" si="45"/>
        <v>N km direction of city</v>
      </c>
      <c r="V970" t="str">
        <f t="shared" si="46"/>
        <v>mw</v>
      </c>
      <c r="X970">
        <f t="shared" si="47"/>
        <v>1996</v>
      </c>
    </row>
    <row r="971" spans="1:24">
      <c r="A971" t="s">
        <v>1553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46</v>
      </c>
      <c r="J971">
        <v>0</v>
      </c>
      <c r="K971">
        <v>0</v>
      </c>
      <c r="L971">
        <v>0</v>
      </c>
      <c r="M971" t="s">
        <v>10</v>
      </c>
      <c r="N971">
        <v>33</v>
      </c>
      <c r="O971">
        <v>53.826000000000001</v>
      </c>
      <c r="P971">
        <v>159.58600000000001</v>
      </c>
      <c r="Q971" t="s">
        <v>1554</v>
      </c>
      <c r="R971" t="s">
        <v>85</v>
      </c>
      <c r="S971" t="s">
        <v>310</v>
      </c>
      <c r="U971" t="str">
        <f t="shared" si="45"/>
        <v>N km direction of city</v>
      </c>
      <c r="V971" t="str">
        <f t="shared" si="46"/>
        <v>ms</v>
      </c>
      <c r="X971">
        <f t="shared" si="47"/>
        <v>1996</v>
      </c>
    </row>
    <row r="972" spans="1:24">
      <c r="A972" t="s">
        <v>1555</v>
      </c>
      <c r="B972">
        <v>7.9</v>
      </c>
      <c r="C972" s="1">
        <v>35065.336805555547</v>
      </c>
      <c r="D972">
        <v>0</v>
      </c>
      <c r="E972">
        <v>8</v>
      </c>
      <c r="G972">
        <v>0</v>
      </c>
      <c r="H972">
        <v>960</v>
      </c>
      <c r="I972" t="s">
        <v>46</v>
      </c>
      <c r="J972">
        <v>0</v>
      </c>
      <c r="K972">
        <v>0</v>
      </c>
      <c r="L972">
        <v>0</v>
      </c>
      <c r="M972" t="s">
        <v>11</v>
      </c>
      <c r="N972">
        <v>24</v>
      </c>
      <c r="O972">
        <v>0.72899999999999998</v>
      </c>
      <c r="P972">
        <v>119.931</v>
      </c>
      <c r="Q972" t="s">
        <v>402</v>
      </c>
      <c r="S972" t="s">
        <v>77</v>
      </c>
      <c r="U972" t="str">
        <f t="shared" si="45"/>
        <v>N km direction of city</v>
      </c>
      <c r="V972" t="str">
        <f t="shared" si="46"/>
        <v>mw</v>
      </c>
      <c r="X972">
        <f t="shared" si="47"/>
        <v>1996</v>
      </c>
    </row>
    <row r="973" spans="1:24">
      <c r="A973" t="s">
        <v>1556</v>
      </c>
      <c r="B973">
        <v>7.1</v>
      </c>
      <c r="C973" s="1">
        <v>35058.196527777778</v>
      </c>
      <c r="D973">
        <v>0</v>
      </c>
      <c r="E973">
        <v>6</v>
      </c>
      <c r="G973">
        <v>0</v>
      </c>
      <c r="H973">
        <v>776</v>
      </c>
      <c r="I973" t="s">
        <v>46</v>
      </c>
      <c r="J973">
        <v>0</v>
      </c>
      <c r="K973">
        <v>0</v>
      </c>
      <c r="L973">
        <v>0</v>
      </c>
      <c r="M973" t="s">
        <v>11</v>
      </c>
      <c r="N973">
        <v>141.9</v>
      </c>
      <c r="O973">
        <v>-6.9029999999999996</v>
      </c>
      <c r="P973">
        <v>129.15100000000001</v>
      </c>
      <c r="Q973" t="s">
        <v>195</v>
      </c>
      <c r="S973" t="s">
        <v>77</v>
      </c>
      <c r="U973" t="str">
        <f t="shared" si="45"/>
        <v>N km direction of city</v>
      </c>
      <c r="V973" t="str">
        <f t="shared" si="46"/>
        <v>mw</v>
      </c>
      <c r="X973">
        <f t="shared" si="47"/>
        <v>1995</v>
      </c>
    </row>
    <row r="974" spans="1:24">
      <c r="A974" t="s">
        <v>1557</v>
      </c>
      <c r="B974">
        <v>6.5</v>
      </c>
      <c r="C974" s="1">
        <v>35052.977777777778</v>
      </c>
      <c r="D974">
        <v>0</v>
      </c>
      <c r="E974">
        <v>6</v>
      </c>
      <c r="G974">
        <v>0</v>
      </c>
      <c r="H974">
        <v>650</v>
      </c>
      <c r="I974" t="s">
        <v>46</v>
      </c>
      <c r="J974">
        <v>0</v>
      </c>
      <c r="K974">
        <v>0</v>
      </c>
      <c r="L974">
        <v>0</v>
      </c>
      <c r="M974" t="s">
        <v>12</v>
      </c>
      <c r="N974">
        <v>63.4</v>
      </c>
      <c r="O974">
        <v>-3.7029999999999998</v>
      </c>
      <c r="P974">
        <v>140.233</v>
      </c>
      <c r="Q974" t="s">
        <v>624</v>
      </c>
      <c r="S974" t="s">
        <v>77</v>
      </c>
      <c r="U974" t="str">
        <f t="shared" si="45"/>
        <v>N km direction of city</v>
      </c>
      <c r="V974" t="str">
        <f t="shared" si="46"/>
        <v>mwb</v>
      </c>
      <c r="X974">
        <f t="shared" si="47"/>
        <v>1995</v>
      </c>
    </row>
    <row r="975" spans="1:24">
      <c r="A975" t="s">
        <v>1558</v>
      </c>
      <c r="B975">
        <v>7.9</v>
      </c>
      <c r="C975" s="1">
        <v>35036.750694444447</v>
      </c>
      <c r="D975">
        <v>0</v>
      </c>
      <c r="E975">
        <v>6</v>
      </c>
      <c r="G975">
        <v>0</v>
      </c>
      <c r="H975">
        <v>960</v>
      </c>
      <c r="I975" t="s">
        <v>46</v>
      </c>
      <c r="J975">
        <v>0</v>
      </c>
      <c r="K975">
        <v>0</v>
      </c>
      <c r="L975">
        <v>0</v>
      </c>
      <c r="M975" t="s">
        <v>11</v>
      </c>
      <c r="N975">
        <v>33</v>
      </c>
      <c r="O975">
        <v>44.662999999999997</v>
      </c>
      <c r="P975">
        <v>149.30000000000001</v>
      </c>
      <c r="Q975" t="s">
        <v>309</v>
      </c>
      <c r="U975" t="str">
        <f t="shared" si="45"/>
        <v>N km direction of city</v>
      </c>
      <c r="V975" t="str">
        <f t="shared" si="46"/>
        <v>mw</v>
      </c>
      <c r="X975">
        <f t="shared" si="47"/>
        <v>1995</v>
      </c>
    </row>
    <row r="976" spans="1:24">
      <c r="A976" t="s">
        <v>1559</v>
      </c>
      <c r="B976">
        <v>7.2</v>
      </c>
      <c r="C976" s="1">
        <v>35025.177083333343</v>
      </c>
      <c r="D976">
        <v>0</v>
      </c>
      <c r="E976">
        <v>9</v>
      </c>
      <c r="G976">
        <v>0</v>
      </c>
      <c r="H976">
        <v>798</v>
      </c>
      <c r="I976" t="s">
        <v>46</v>
      </c>
      <c r="J976">
        <v>0</v>
      </c>
      <c r="K976">
        <v>0</v>
      </c>
      <c r="L976">
        <v>0</v>
      </c>
      <c r="M976" t="s">
        <v>11</v>
      </c>
      <c r="N976">
        <v>10</v>
      </c>
      <c r="O976">
        <v>28.826000000000001</v>
      </c>
      <c r="P976">
        <v>34.798999999999999</v>
      </c>
      <c r="Q976" t="s">
        <v>1560</v>
      </c>
      <c r="R976" t="s">
        <v>85</v>
      </c>
      <c r="S976" t="s">
        <v>1561</v>
      </c>
      <c r="U976" t="str">
        <f t="shared" si="45"/>
        <v>N km direction of city</v>
      </c>
      <c r="V976" t="str">
        <f t="shared" si="46"/>
        <v>mw</v>
      </c>
      <c r="X976">
        <f t="shared" si="47"/>
        <v>1995</v>
      </c>
    </row>
    <row r="977" spans="1:24">
      <c r="A977" t="s">
        <v>1562</v>
      </c>
      <c r="B977">
        <v>6.7</v>
      </c>
      <c r="C977" s="1">
        <v>35004.024305555547</v>
      </c>
      <c r="D977">
        <v>0</v>
      </c>
      <c r="E977">
        <v>7</v>
      </c>
      <c r="G977">
        <v>0</v>
      </c>
      <c r="H977">
        <v>691</v>
      </c>
      <c r="I977" t="s">
        <v>46</v>
      </c>
      <c r="J977">
        <v>0</v>
      </c>
      <c r="K977">
        <v>0</v>
      </c>
      <c r="L977">
        <v>0</v>
      </c>
      <c r="M977" t="s">
        <v>11</v>
      </c>
      <c r="N977">
        <v>19.899999999999999</v>
      </c>
      <c r="O977">
        <v>-28.905999999999999</v>
      </c>
      <c r="P977">
        <v>-71.417000000000002</v>
      </c>
      <c r="Q977" t="s">
        <v>273</v>
      </c>
      <c r="S977" t="s">
        <v>275</v>
      </c>
      <c r="U977" t="str">
        <f t="shared" si="45"/>
        <v>N km direction of city</v>
      </c>
      <c r="V977" t="str">
        <f t="shared" si="46"/>
        <v>mw</v>
      </c>
      <c r="X977">
        <f t="shared" si="47"/>
        <v>1995</v>
      </c>
    </row>
    <row r="978" spans="1:24">
      <c r="A978" t="s">
        <v>1563</v>
      </c>
      <c r="B978">
        <v>7.2</v>
      </c>
      <c r="C978" s="1">
        <v>34993.109722222223</v>
      </c>
      <c r="D978">
        <v>0</v>
      </c>
      <c r="E978">
        <v>6</v>
      </c>
      <c r="G978">
        <v>0</v>
      </c>
      <c r="H978">
        <v>798</v>
      </c>
      <c r="I978" t="s">
        <v>46</v>
      </c>
      <c r="J978">
        <v>0</v>
      </c>
      <c r="K978">
        <v>0</v>
      </c>
      <c r="L978">
        <v>0</v>
      </c>
      <c r="M978" t="s">
        <v>11</v>
      </c>
      <c r="N978">
        <v>159.30000000000001</v>
      </c>
      <c r="O978">
        <v>16.84</v>
      </c>
      <c r="P978">
        <v>-93.468999999999994</v>
      </c>
      <c r="Q978" t="s">
        <v>1564</v>
      </c>
      <c r="S978" t="s">
        <v>140</v>
      </c>
      <c r="U978" t="str">
        <f t="shared" si="45"/>
        <v>N km direction of city</v>
      </c>
      <c r="V978" t="str">
        <f t="shared" si="46"/>
        <v>mw</v>
      </c>
      <c r="X978">
        <f t="shared" si="47"/>
        <v>1995</v>
      </c>
    </row>
    <row r="979" spans="1:24">
      <c r="A979" t="s">
        <v>1565</v>
      </c>
      <c r="B979">
        <v>6.8</v>
      </c>
      <c r="C979" s="1">
        <v>34991.111805555563</v>
      </c>
      <c r="D979">
        <v>0</v>
      </c>
      <c r="E979">
        <v>6</v>
      </c>
      <c r="G979">
        <v>0</v>
      </c>
      <c r="H979">
        <v>711</v>
      </c>
      <c r="I979" t="s">
        <v>46</v>
      </c>
      <c r="J979">
        <v>0</v>
      </c>
      <c r="K979">
        <v>0</v>
      </c>
      <c r="L979">
        <v>0</v>
      </c>
      <c r="M979" t="s">
        <v>11</v>
      </c>
      <c r="N979">
        <v>19.7</v>
      </c>
      <c r="O979">
        <v>28.094000000000001</v>
      </c>
      <c r="P979">
        <v>130.148</v>
      </c>
      <c r="Q979" t="s">
        <v>292</v>
      </c>
      <c r="U979" t="str">
        <f t="shared" si="45"/>
        <v>N km direction of city</v>
      </c>
      <c r="V979" t="str">
        <f t="shared" si="46"/>
        <v>mw</v>
      </c>
      <c r="X979">
        <f t="shared" si="47"/>
        <v>1995</v>
      </c>
    </row>
    <row r="980" spans="1:24">
      <c r="A980" t="s">
        <v>1566</v>
      </c>
      <c r="B980">
        <v>7.1</v>
      </c>
      <c r="C980" s="1">
        <v>34990.442361111112</v>
      </c>
      <c r="D980">
        <v>0</v>
      </c>
      <c r="E980">
        <v>6</v>
      </c>
      <c r="G980">
        <v>0</v>
      </c>
      <c r="H980">
        <v>776</v>
      </c>
      <c r="I980" t="s">
        <v>46</v>
      </c>
      <c r="J980">
        <v>0</v>
      </c>
      <c r="K980">
        <v>0</v>
      </c>
      <c r="L980">
        <v>0</v>
      </c>
      <c r="M980" t="s">
        <v>11</v>
      </c>
      <c r="N980">
        <v>28.4</v>
      </c>
      <c r="O980">
        <v>27.928999999999998</v>
      </c>
      <c r="P980">
        <v>130.17500000000001</v>
      </c>
      <c r="Q980" t="s">
        <v>292</v>
      </c>
      <c r="U980" t="str">
        <f t="shared" si="45"/>
        <v>N km direction of city</v>
      </c>
      <c r="V980" t="str">
        <f t="shared" si="46"/>
        <v>mw</v>
      </c>
      <c r="X980">
        <f t="shared" si="47"/>
        <v>1995</v>
      </c>
    </row>
    <row r="981" spans="1:24">
      <c r="A981" t="s">
        <v>1567</v>
      </c>
      <c r="B981">
        <v>8</v>
      </c>
      <c r="C981" s="1">
        <v>34981.649305555547</v>
      </c>
      <c r="D981">
        <v>0</v>
      </c>
      <c r="E981">
        <v>8</v>
      </c>
      <c r="G981">
        <v>0</v>
      </c>
      <c r="H981">
        <v>985</v>
      </c>
      <c r="I981" t="s">
        <v>46</v>
      </c>
      <c r="J981">
        <v>0</v>
      </c>
      <c r="K981">
        <v>0</v>
      </c>
      <c r="L981">
        <v>0</v>
      </c>
      <c r="M981" t="s">
        <v>11</v>
      </c>
      <c r="N981">
        <v>33</v>
      </c>
      <c r="O981">
        <v>19.055</v>
      </c>
      <c r="P981">
        <v>-104.205</v>
      </c>
      <c r="Q981" t="s">
        <v>1568</v>
      </c>
      <c r="R981" t="s">
        <v>139</v>
      </c>
      <c r="S981" t="s">
        <v>140</v>
      </c>
      <c r="U981" t="str">
        <f t="shared" si="45"/>
        <v>N km direction of city</v>
      </c>
      <c r="V981" t="str">
        <f t="shared" si="46"/>
        <v>mw</v>
      </c>
      <c r="X981">
        <f t="shared" si="47"/>
        <v>1995</v>
      </c>
    </row>
    <row r="982" spans="1:24">
      <c r="A982" t="s">
        <v>1569</v>
      </c>
      <c r="B982">
        <v>6.8</v>
      </c>
      <c r="C982" s="1">
        <v>34978.756249999999</v>
      </c>
      <c r="D982">
        <v>0</v>
      </c>
      <c r="E982">
        <v>7</v>
      </c>
      <c r="G982">
        <v>0</v>
      </c>
      <c r="H982">
        <v>711</v>
      </c>
      <c r="I982" t="s">
        <v>46</v>
      </c>
      <c r="J982">
        <v>0</v>
      </c>
      <c r="K982">
        <v>0</v>
      </c>
      <c r="L982">
        <v>0</v>
      </c>
      <c r="M982" t="s">
        <v>11</v>
      </c>
      <c r="N982">
        <v>33</v>
      </c>
      <c r="O982">
        <v>-2.0449999999999999</v>
      </c>
      <c r="P982">
        <v>101.43600000000001</v>
      </c>
      <c r="Q982" t="s">
        <v>552</v>
      </c>
      <c r="S982" t="s">
        <v>77</v>
      </c>
      <c r="U982" t="str">
        <f t="shared" si="45"/>
        <v>N km direction of city</v>
      </c>
      <c r="V982" t="str">
        <f t="shared" si="46"/>
        <v>mw</v>
      </c>
      <c r="X982">
        <f t="shared" si="47"/>
        <v>1995</v>
      </c>
    </row>
    <row r="983" spans="1:24">
      <c r="A983" t="s">
        <v>1570</v>
      </c>
      <c r="B983">
        <v>6.5</v>
      </c>
      <c r="C983" s="1">
        <v>34975.530555555553</v>
      </c>
      <c r="D983">
        <v>0</v>
      </c>
      <c r="E983">
        <v>7</v>
      </c>
      <c r="G983">
        <v>0</v>
      </c>
      <c r="H983">
        <v>650</v>
      </c>
      <c r="I983" t="s">
        <v>46</v>
      </c>
      <c r="J983">
        <v>0</v>
      </c>
      <c r="K983">
        <v>0</v>
      </c>
      <c r="L983">
        <v>0</v>
      </c>
      <c r="M983" t="s">
        <v>11</v>
      </c>
      <c r="N983">
        <v>16.7</v>
      </c>
      <c r="O983">
        <v>-2.778</v>
      </c>
      <c r="P983">
        <v>-77.850999999999999</v>
      </c>
      <c r="Q983" t="s">
        <v>1571</v>
      </c>
      <c r="R983" t="s">
        <v>53</v>
      </c>
      <c r="S983" t="s">
        <v>96</v>
      </c>
      <c r="U983" t="str">
        <f t="shared" si="45"/>
        <v>N km direction of city</v>
      </c>
      <c r="V983" t="str">
        <f t="shared" si="46"/>
        <v>mw</v>
      </c>
      <c r="X983">
        <f t="shared" si="47"/>
        <v>1995</v>
      </c>
    </row>
    <row r="984" spans="1:24">
      <c r="A984" t="s">
        <v>1572</v>
      </c>
      <c r="B984">
        <v>7</v>
      </c>
      <c r="C984" s="1">
        <v>34975.07708333333</v>
      </c>
      <c r="D984">
        <v>0</v>
      </c>
      <c r="E984">
        <v>7</v>
      </c>
      <c r="G984">
        <v>0</v>
      </c>
      <c r="H984">
        <v>754</v>
      </c>
      <c r="I984" t="s">
        <v>46</v>
      </c>
      <c r="J984">
        <v>0</v>
      </c>
      <c r="K984">
        <v>0</v>
      </c>
      <c r="L984">
        <v>0</v>
      </c>
      <c r="M984" t="s">
        <v>11</v>
      </c>
      <c r="N984">
        <v>24.4</v>
      </c>
      <c r="O984">
        <v>-2.75</v>
      </c>
      <c r="P984">
        <v>-77.881</v>
      </c>
      <c r="Q984" t="s">
        <v>1571</v>
      </c>
      <c r="R984" t="s">
        <v>53</v>
      </c>
      <c r="S984" t="s">
        <v>96</v>
      </c>
      <c r="U984" t="str">
        <f t="shared" si="45"/>
        <v>N km direction of city</v>
      </c>
      <c r="V984" t="str">
        <f t="shared" si="46"/>
        <v>mw</v>
      </c>
      <c r="X984">
        <f t="shared" si="47"/>
        <v>1995</v>
      </c>
    </row>
    <row r="985" spans="1:24">
      <c r="A985" t="s">
        <v>1573</v>
      </c>
      <c r="B985">
        <v>6.5</v>
      </c>
      <c r="C985" s="1">
        <v>34965.938194444447</v>
      </c>
      <c r="D985">
        <v>0</v>
      </c>
      <c r="E985">
        <v>5</v>
      </c>
      <c r="G985">
        <v>0</v>
      </c>
      <c r="H985">
        <v>650</v>
      </c>
      <c r="I985" t="s">
        <v>46</v>
      </c>
      <c r="J985">
        <v>0</v>
      </c>
      <c r="K985">
        <v>0</v>
      </c>
      <c r="L985">
        <v>0</v>
      </c>
      <c r="M985" t="s">
        <v>12</v>
      </c>
      <c r="N985">
        <v>59.9</v>
      </c>
      <c r="O985">
        <v>-10.68</v>
      </c>
      <c r="P985">
        <v>-78.581000000000003</v>
      </c>
      <c r="Q985" t="s">
        <v>1574</v>
      </c>
      <c r="S985" t="s">
        <v>164</v>
      </c>
      <c r="U985" t="str">
        <f t="shared" si="45"/>
        <v>N km direction of city</v>
      </c>
      <c r="V985" t="str">
        <f t="shared" si="46"/>
        <v>mwb</v>
      </c>
      <c r="X985">
        <f t="shared" si="47"/>
        <v>1995</v>
      </c>
    </row>
    <row r="986" spans="1:24">
      <c r="A986" t="s">
        <v>1575</v>
      </c>
      <c r="B986">
        <v>7.4</v>
      </c>
      <c r="C986" s="1">
        <v>34956.586111111108</v>
      </c>
      <c r="D986">
        <v>0</v>
      </c>
      <c r="E986">
        <v>7</v>
      </c>
      <c r="G986">
        <v>0</v>
      </c>
      <c r="H986">
        <v>842</v>
      </c>
      <c r="I986" t="s">
        <v>46</v>
      </c>
      <c r="J986">
        <v>0</v>
      </c>
      <c r="K986">
        <v>0</v>
      </c>
      <c r="L986">
        <v>0</v>
      </c>
      <c r="M986" t="s">
        <v>12</v>
      </c>
      <c r="N986">
        <v>23</v>
      </c>
      <c r="O986">
        <v>16.779</v>
      </c>
      <c r="P986">
        <v>-98.596999999999994</v>
      </c>
      <c r="Q986" t="s">
        <v>1576</v>
      </c>
      <c r="R986" t="s">
        <v>139</v>
      </c>
      <c r="S986" t="s">
        <v>140</v>
      </c>
      <c r="U986" t="str">
        <f t="shared" si="45"/>
        <v>N km direction of city</v>
      </c>
      <c r="V986" t="str">
        <f t="shared" si="46"/>
        <v>mwb</v>
      </c>
      <c r="X986">
        <f t="shared" si="47"/>
        <v>1995</v>
      </c>
    </row>
    <row r="987" spans="1:24">
      <c r="A987" t="s">
        <v>1577</v>
      </c>
      <c r="B987">
        <v>6.6</v>
      </c>
      <c r="C987" s="1">
        <v>34939.448611111111</v>
      </c>
      <c r="D987">
        <v>0</v>
      </c>
      <c r="E987">
        <v>5</v>
      </c>
      <c r="G987">
        <v>0</v>
      </c>
      <c r="H987">
        <v>670</v>
      </c>
      <c r="I987" t="s">
        <v>46</v>
      </c>
      <c r="J987">
        <v>0</v>
      </c>
      <c r="K987">
        <v>0</v>
      </c>
      <c r="L987">
        <v>0</v>
      </c>
      <c r="M987" t="s">
        <v>12</v>
      </c>
      <c r="N987">
        <v>12.2</v>
      </c>
      <c r="O987">
        <v>26.091999999999999</v>
      </c>
      <c r="P987">
        <v>-110.28400000000001</v>
      </c>
      <c r="Q987" t="s">
        <v>735</v>
      </c>
      <c r="U987" t="str">
        <f t="shared" si="45"/>
        <v>N km direction of city</v>
      </c>
      <c r="V987" t="str">
        <f t="shared" si="46"/>
        <v>mwb</v>
      </c>
      <c r="X987">
        <f t="shared" si="47"/>
        <v>1995</v>
      </c>
    </row>
    <row r="988" spans="1:24">
      <c r="A988" t="s">
        <v>1578</v>
      </c>
      <c r="B988">
        <v>6.6</v>
      </c>
      <c r="C988" s="1">
        <v>34930.904861111107</v>
      </c>
      <c r="D988">
        <v>0</v>
      </c>
      <c r="E988">
        <v>6</v>
      </c>
      <c r="G988">
        <v>0</v>
      </c>
      <c r="H988">
        <v>670</v>
      </c>
      <c r="I988" t="s">
        <v>46</v>
      </c>
      <c r="J988">
        <v>0</v>
      </c>
      <c r="K988">
        <v>0</v>
      </c>
      <c r="L988">
        <v>0</v>
      </c>
      <c r="M988" t="s">
        <v>11</v>
      </c>
      <c r="N988">
        <v>119.6</v>
      </c>
      <c r="O988">
        <v>5.1390000000000002</v>
      </c>
      <c r="P988">
        <v>-75.576999999999998</v>
      </c>
      <c r="Q988" t="s">
        <v>1579</v>
      </c>
      <c r="R988" t="s">
        <v>53</v>
      </c>
      <c r="S988" t="s">
        <v>68</v>
      </c>
      <c r="U988" t="str">
        <f t="shared" si="45"/>
        <v>N km direction of city</v>
      </c>
      <c r="V988" t="str">
        <f t="shared" si="46"/>
        <v>mw</v>
      </c>
      <c r="X988">
        <f t="shared" si="47"/>
        <v>1995</v>
      </c>
    </row>
    <row r="989" spans="1:24">
      <c r="A989" t="s">
        <v>1580</v>
      </c>
      <c r="B989">
        <v>7.2</v>
      </c>
      <c r="C989" s="1">
        <v>34927.965277777781</v>
      </c>
      <c r="D989">
        <v>0</v>
      </c>
      <c r="E989">
        <v>6</v>
      </c>
      <c r="G989">
        <v>0</v>
      </c>
      <c r="H989">
        <v>798</v>
      </c>
      <c r="I989" t="s">
        <v>46</v>
      </c>
      <c r="J989">
        <v>0</v>
      </c>
      <c r="K989">
        <v>0</v>
      </c>
      <c r="L989">
        <v>0</v>
      </c>
      <c r="M989" t="s">
        <v>11</v>
      </c>
      <c r="N989">
        <v>33</v>
      </c>
      <c r="O989">
        <v>-5.7709999999999999</v>
      </c>
      <c r="P989">
        <v>154.34700000000001</v>
      </c>
      <c r="Q989" t="s">
        <v>506</v>
      </c>
      <c r="U989" t="str">
        <f t="shared" si="45"/>
        <v>N km direction of city</v>
      </c>
      <c r="V989" t="str">
        <f t="shared" si="46"/>
        <v>mw</v>
      </c>
      <c r="X989">
        <f t="shared" si="47"/>
        <v>1995</v>
      </c>
    </row>
    <row r="990" spans="1:24">
      <c r="A990" t="s">
        <v>1581</v>
      </c>
      <c r="B990">
        <v>6.6</v>
      </c>
      <c r="C990" s="1">
        <v>34927.683333333327</v>
      </c>
      <c r="D990">
        <v>0</v>
      </c>
      <c r="E990">
        <v>4</v>
      </c>
      <c r="G990">
        <v>0</v>
      </c>
      <c r="H990">
        <v>670</v>
      </c>
      <c r="I990" t="s">
        <v>46</v>
      </c>
      <c r="J990">
        <v>0</v>
      </c>
      <c r="K990">
        <v>0</v>
      </c>
      <c r="L990">
        <v>0</v>
      </c>
      <c r="M990" t="s">
        <v>11</v>
      </c>
      <c r="N990">
        <v>18.7</v>
      </c>
      <c r="O990">
        <v>-5.4290000000000003</v>
      </c>
      <c r="P990">
        <v>153.773</v>
      </c>
      <c r="Q990" t="s">
        <v>434</v>
      </c>
      <c r="U990" t="str">
        <f t="shared" si="45"/>
        <v>N km direction of city</v>
      </c>
      <c r="V990" t="str">
        <f t="shared" si="46"/>
        <v>mw</v>
      </c>
      <c r="X990">
        <f t="shared" si="47"/>
        <v>1995</v>
      </c>
    </row>
    <row r="991" spans="1:24">
      <c r="A991" t="s">
        <v>1582</v>
      </c>
      <c r="B991">
        <v>7.7</v>
      </c>
      <c r="C991" s="1">
        <v>34927.435416666667</v>
      </c>
      <c r="D991">
        <v>0</v>
      </c>
      <c r="E991">
        <v>6</v>
      </c>
      <c r="G991">
        <v>0</v>
      </c>
      <c r="H991">
        <v>912</v>
      </c>
      <c r="I991" t="s">
        <v>46</v>
      </c>
      <c r="J991">
        <v>0</v>
      </c>
      <c r="K991">
        <v>0</v>
      </c>
      <c r="L991">
        <v>0</v>
      </c>
      <c r="M991" t="s">
        <v>11</v>
      </c>
      <c r="N991">
        <v>30.1</v>
      </c>
      <c r="O991">
        <v>-5.7990000000000004</v>
      </c>
      <c r="P991">
        <v>154.178</v>
      </c>
      <c r="Q991" t="s">
        <v>506</v>
      </c>
      <c r="U991" t="str">
        <f t="shared" si="45"/>
        <v>N km direction of city</v>
      </c>
      <c r="V991" t="str">
        <f t="shared" si="46"/>
        <v>mw</v>
      </c>
      <c r="X991">
        <f t="shared" si="47"/>
        <v>1995</v>
      </c>
    </row>
    <row r="992" spans="1:24">
      <c r="A992" t="s">
        <v>1583</v>
      </c>
      <c r="B992">
        <v>6.7</v>
      </c>
      <c r="C992" s="1">
        <v>34925.192361111112</v>
      </c>
      <c r="D992">
        <v>0</v>
      </c>
      <c r="E992">
        <v>6</v>
      </c>
      <c r="G992">
        <v>0</v>
      </c>
      <c r="H992">
        <v>691</v>
      </c>
      <c r="I992" t="s">
        <v>46</v>
      </c>
      <c r="J992">
        <v>0</v>
      </c>
      <c r="K992">
        <v>0</v>
      </c>
      <c r="L992">
        <v>0</v>
      </c>
      <c r="M992" t="s">
        <v>11</v>
      </c>
      <c r="N992">
        <v>127.9</v>
      </c>
      <c r="O992">
        <v>-4.8360000000000003</v>
      </c>
      <c r="P992">
        <v>151.51499999999999</v>
      </c>
      <c r="Q992" t="s">
        <v>434</v>
      </c>
      <c r="S992" t="s">
        <v>89</v>
      </c>
      <c r="U992" t="str">
        <f t="shared" si="45"/>
        <v>N km direction of city</v>
      </c>
      <c r="V992" t="str">
        <f t="shared" si="46"/>
        <v>mw</v>
      </c>
      <c r="X992">
        <f t="shared" si="47"/>
        <v>1995</v>
      </c>
    </row>
    <row r="993" spans="1:24">
      <c r="A993" t="s">
        <v>1584</v>
      </c>
      <c r="B993">
        <v>8</v>
      </c>
      <c r="C993" s="1">
        <v>34910.21597222222</v>
      </c>
      <c r="D993">
        <v>0</v>
      </c>
      <c r="E993">
        <v>8</v>
      </c>
      <c r="G993">
        <v>0</v>
      </c>
      <c r="H993">
        <v>985</v>
      </c>
      <c r="I993" t="s">
        <v>46</v>
      </c>
      <c r="J993">
        <v>0</v>
      </c>
      <c r="K993">
        <v>0</v>
      </c>
      <c r="L993">
        <v>0</v>
      </c>
      <c r="M993" t="s">
        <v>11</v>
      </c>
      <c r="N993">
        <v>45.6</v>
      </c>
      <c r="O993">
        <v>-23.34</v>
      </c>
      <c r="P993">
        <v>-70.293999999999997</v>
      </c>
      <c r="Q993" t="s">
        <v>1040</v>
      </c>
      <c r="R993" t="s">
        <v>53</v>
      </c>
      <c r="S993" t="s">
        <v>275</v>
      </c>
      <c r="U993" t="str">
        <f t="shared" si="45"/>
        <v>N km direction of city</v>
      </c>
      <c r="V993" t="str">
        <f t="shared" si="46"/>
        <v>mw</v>
      </c>
      <c r="X993">
        <f t="shared" si="47"/>
        <v>1995</v>
      </c>
    </row>
    <row r="994" spans="1:24">
      <c r="A994" t="s">
        <v>1585</v>
      </c>
      <c r="B994">
        <v>6.8</v>
      </c>
      <c r="C994" s="1">
        <v>34891.906944444447</v>
      </c>
      <c r="D994">
        <v>0</v>
      </c>
      <c r="E994">
        <v>8</v>
      </c>
      <c r="G994">
        <v>0</v>
      </c>
      <c r="H994">
        <v>711</v>
      </c>
      <c r="I994" t="s">
        <v>46</v>
      </c>
      <c r="J994">
        <v>0</v>
      </c>
      <c r="K994">
        <v>0</v>
      </c>
      <c r="L994">
        <v>0</v>
      </c>
      <c r="M994" t="s">
        <v>11</v>
      </c>
      <c r="N994">
        <v>12.5</v>
      </c>
      <c r="O994">
        <v>21.966000000000001</v>
      </c>
      <c r="P994">
        <v>99.195999999999998</v>
      </c>
      <c r="Q994" t="s">
        <v>1586</v>
      </c>
      <c r="R994" t="s">
        <v>85</v>
      </c>
      <c r="S994" t="s">
        <v>547</v>
      </c>
      <c r="U994" t="str">
        <f t="shared" si="45"/>
        <v>N km direction of city</v>
      </c>
      <c r="V994" t="str">
        <f t="shared" si="46"/>
        <v>mw</v>
      </c>
      <c r="X994">
        <f t="shared" si="47"/>
        <v>1995</v>
      </c>
    </row>
    <row r="995" spans="1:24">
      <c r="A995" t="s">
        <v>1587</v>
      </c>
      <c r="B995">
        <v>6.6</v>
      </c>
      <c r="C995" s="1">
        <v>34879.51666666667</v>
      </c>
      <c r="D995">
        <v>0</v>
      </c>
      <c r="E995">
        <v>5</v>
      </c>
      <c r="G995">
        <v>0</v>
      </c>
      <c r="H995">
        <v>670</v>
      </c>
      <c r="I995" t="s">
        <v>46</v>
      </c>
      <c r="J995">
        <v>0</v>
      </c>
      <c r="K995">
        <v>0</v>
      </c>
      <c r="L995">
        <v>0</v>
      </c>
      <c r="M995" t="s">
        <v>11</v>
      </c>
      <c r="N995">
        <v>139.4</v>
      </c>
      <c r="O995">
        <v>-19.544</v>
      </c>
      <c r="P995">
        <v>169.28700000000001</v>
      </c>
      <c r="Q995" t="s">
        <v>148</v>
      </c>
      <c r="S995" t="s">
        <v>48</v>
      </c>
      <c r="U995" t="str">
        <f t="shared" si="45"/>
        <v>N km direction of city</v>
      </c>
      <c r="V995" t="str">
        <f t="shared" si="46"/>
        <v>mw</v>
      </c>
      <c r="X995">
        <f t="shared" si="47"/>
        <v>1995</v>
      </c>
    </row>
    <row r="996" spans="1:24">
      <c r="A996" t="s">
        <v>1588</v>
      </c>
      <c r="B996">
        <v>6.5</v>
      </c>
      <c r="C996" s="1">
        <v>34865.010416666657</v>
      </c>
      <c r="D996">
        <v>0</v>
      </c>
      <c r="E996">
        <v>7</v>
      </c>
      <c r="G996">
        <v>0</v>
      </c>
      <c r="H996">
        <v>650</v>
      </c>
      <c r="I996" t="s">
        <v>46</v>
      </c>
      <c r="J996">
        <v>0</v>
      </c>
      <c r="K996">
        <v>0</v>
      </c>
      <c r="L996">
        <v>0</v>
      </c>
      <c r="M996" t="s">
        <v>11</v>
      </c>
      <c r="N996">
        <v>14.2</v>
      </c>
      <c r="O996">
        <v>38.401000000000003</v>
      </c>
      <c r="P996">
        <v>22.283000000000001</v>
      </c>
      <c r="Q996" t="s">
        <v>1589</v>
      </c>
      <c r="R996" t="s">
        <v>267</v>
      </c>
      <c r="S996" t="s">
        <v>268</v>
      </c>
      <c r="U996" t="str">
        <f t="shared" si="45"/>
        <v>N km direction of city</v>
      </c>
      <c r="V996" t="str">
        <f t="shared" si="46"/>
        <v>mw</v>
      </c>
      <c r="X996">
        <f t="shared" si="47"/>
        <v>1995</v>
      </c>
    </row>
    <row r="997" spans="1:24">
      <c r="A997" t="s">
        <v>1590</v>
      </c>
      <c r="B997">
        <v>7.1</v>
      </c>
      <c r="C997" s="1">
        <v>34846.543749999997</v>
      </c>
      <c r="D997">
        <v>0</v>
      </c>
      <c r="E997">
        <v>9</v>
      </c>
      <c r="G997">
        <v>0</v>
      </c>
      <c r="H997">
        <v>776</v>
      </c>
      <c r="I997" t="s">
        <v>46</v>
      </c>
      <c r="J997">
        <v>0</v>
      </c>
      <c r="K997">
        <v>0</v>
      </c>
      <c r="L997">
        <v>0</v>
      </c>
      <c r="M997" t="s">
        <v>12</v>
      </c>
      <c r="N997">
        <v>11</v>
      </c>
      <c r="O997">
        <v>52.628999999999998</v>
      </c>
      <c r="P997">
        <v>142.827</v>
      </c>
      <c r="Q997" t="s">
        <v>1591</v>
      </c>
      <c r="R997" t="s">
        <v>85</v>
      </c>
      <c r="S997" t="s">
        <v>310</v>
      </c>
      <c r="U997" t="str">
        <f t="shared" si="45"/>
        <v>N km direction of city</v>
      </c>
      <c r="V997" t="str">
        <f t="shared" si="46"/>
        <v>mwb</v>
      </c>
      <c r="X997">
        <f t="shared" si="47"/>
        <v>1995</v>
      </c>
    </row>
    <row r="998" spans="1:24">
      <c r="A998" t="s">
        <v>1592</v>
      </c>
      <c r="B998">
        <v>7.7</v>
      </c>
      <c r="C998" s="1">
        <v>34835.841666666667</v>
      </c>
      <c r="D998">
        <v>0</v>
      </c>
      <c r="E998">
        <v>4</v>
      </c>
      <c r="G998">
        <v>0</v>
      </c>
      <c r="H998">
        <v>912</v>
      </c>
      <c r="I998" t="s">
        <v>46</v>
      </c>
      <c r="J998">
        <v>0</v>
      </c>
      <c r="K998">
        <v>0</v>
      </c>
      <c r="L998">
        <v>0</v>
      </c>
      <c r="M998" t="s">
        <v>11</v>
      </c>
      <c r="N998">
        <v>20.2</v>
      </c>
      <c r="O998">
        <v>-23.007999999999999</v>
      </c>
      <c r="P998">
        <v>169.9</v>
      </c>
      <c r="Q998" t="s">
        <v>1593</v>
      </c>
      <c r="U998" t="str">
        <f t="shared" si="45"/>
        <v>N km direction of city</v>
      </c>
      <c r="V998" t="str">
        <f t="shared" si="46"/>
        <v>mw</v>
      </c>
      <c r="X998">
        <f t="shared" si="47"/>
        <v>1995</v>
      </c>
    </row>
    <row r="999" spans="1:24">
      <c r="A999" t="s">
        <v>1594</v>
      </c>
      <c r="B999">
        <v>6.9</v>
      </c>
      <c r="C999" s="1">
        <v>34833.481249999997</v>
      </c>
      <c r="D999">
        <v>0</v>
      </c>
      <c r="E999">
        <v>6</v>
      </c>
      <c r="G999">
        <v>0</v>
      </c>
      <c r="H999">
        <v>732</v>
      </c>
      <c r="I999" t="s">
        <v>46</v>
      </c>
      <c r="J999">
        <v>0</v>
      </c>
      <c r="K999">
        <v>0</v>
      </c>
      <c r="L999">
        <v>0</v>
      </c>
      <c r="M999" t="s">
        <v>11</v>
      </c>
      <c r="N999">
        <v>11.2</v>
      </c>
      <c r="O999">
        <v>-8.3780000000000001</v>
      </c>
      <c r="P999">
        <v>125.127</v>
      </c>
      <c r="Q999" t="s">
        <v>606</v>
      </c>
      <c r="S999" t="s">
        <v>77</v>
      </c>
      <c r="U999" t="str">
        <f t="shared" si="45"/>
        <v>N km direction of city</v>
      </c>
      <c r="V999" t="str">
        <f t="shared" si="46"/>
        <v>mw</v>
      </c>
      <c r="X999">
        <f t="shared" si="47"/>
        <v>1995</v>
      </c>
    </row>
    <row r="1000" spans="1:24">
      <c r="A1000" t="s">
        <v>1595</v>
      </c>
      <c r="B1000">
        <v>6.6</v>
      </c>
      <c r="C1000" s="1">
        <v>34832.365972222222</v>
      </c>
      <c r="D1000">
        <v>0</v>
      </c>
      <c r="E1000">
        <v>9</v>
      </c>
      <c r="G1000">
        <v>0</v>
      </c>
      <c r="H1000">
        <v>670</v>
      </c>
      <c r="I1000" t="s">
        <v>46</v>
      </c>
      <c r="J1000">
        <v>0</v>
      </c>
      <c r="K1000">
        <v>0</v>
      </c>
      <c r="L1000">
        <v>0</v>
      </c>
      <c r="M1000" t="s">
        <v>11</v>
      </c>
      <c r="N1000">
        <v>14</v>
      </c>
      <c r="O1000">
        <v>40.149000000000001</v>
      </c>
      <c r="P1000">
        <v>21.695</v>
      </c>
      <c r="Q1000" t="s">
        <v>1596</v>
      </c>
      <c r="R1000" t="s">
        <v>267</v>
      </c>
      <c r="S1000" t="s">
        <v>268</v>
      </c>
      <c r="U1000" t="str">
        <f t="shared" si="45"/>
        <v>N km direction of city</v>
      </c>
      <c r="V1000" t="str">
        <f t="shared" si="46"/>
        <v>mw</v>
      </c>
      <c r="X1000">
        <f t="shared" si="47"/>
        <v>1995</v>
      </c>
    </row>
    <row r="1001" spans="1:24">
      <c r="A1001" t="s">
        <v>1597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46</v>
      </c>
      <c r="J1001">
        <v>0</v>
      </c>
      <c r="K1001">
        <v>0</v>
      </c>
      <c r="L1001">
        <v>0</v>
      </c>
      <c r="M1001" t="s">
        <v>11</v>
      </c>
      <c r="N1001">
        <v>16</v>
      </c>
      <c r="O1001">
        <v>12.625999999999999</v>
      </c>
      <c r="P1001">
        <v>125.297</v>
      </c>
      <c r="Q1001" t="s">
        <v>1598</v>
      </c>
      <c r="S1001" t="s">
        <v>158</v>
      </c>
      <c r="U1001" t="str">
        <f t="shared" si="45"/>
        <v>N km direction of city</v>
      </c>
      <c r="V1001" t="str">
        <f t="shared" si="46"/>
        <v>mw</v>
      </c>
      <c r="X1001">
        <f t="shared" si="47"/>
        <v>1995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9"/>
  <sheetViews>
    <sheetView zoomScale="101" workbookViewId="0">
      <selection activeCell="A15" sqref="A15"/>
    </sheetView>
  </sheetViews>
  <sheetFormatPr defaultRowHeight="14.4"/>
  <cols>
    <col min="1" max="1" width="29.5546875" customWidth="1"/>
    <col min="2" max="2" width="32.33203125" customWidth="1"/>
    <col min="3" max="3" width="80" customWidth="1"/>
    <col min="7" max="7" width="11.21875" customWidth="1"/>
    <col min="8" max="8" width="15.77734375" customWidth="1"/>
    <col min="9" max="9" width="5.6640625" customWidth="1"/>
    <col min="10" max="10" width="11.6640625" customWidth="1"/>
    <col min="11" max="11" width="12.33203125" customWidth="1"/>
    <col min="18" max="18" width="7.33203125" customWidth="1"/>
    <col min="19" max="19" width="8.88671875" hidden="1" customWidth="1"/>
    <col min="20" max="20" width="18.5546875" customWidth="1"/>
    <col min="21" max="21" width="22.109375" customWidth="1"/>
  </cols>
  <sheetData>
    <row r="1" spans="1:20">
      <c r="A1" t="s">
        <v>1599</v>
      </c>
      <c r="J1" s="6" t="s">
        <v>1600</v>
      </c>
      <c r="K1" s="6" t="s">
        <v>1601</v>
      </c>
      <c r="L1" s="6"/>
      <c r="M1" s="6"/>
      <c r="N1" s="6"/>
      <c r="T1" t="s">
        <v>1602</v>
      </c>
    </row>
    <row r="2" spans="1:20">
      <c r="A2" t="s">
        <v>1603</v>
      </c>
      <c r="B2" t="s">
        <v>1604</v>
      </c>
      <c r="C2" t="s">
        <v>1605</v>
      </c>
      <c r="J2" s="7" t="s">
        <v>1606</v>
      </c>
      <c r="K2" s="7" t="s">
        <v>1607</v>
      </c>
      <c r="L2" s="8"/>
      <c r="M2" s="8"/>
      <c r="N2" s="8"/>
      <c r="T2" t="b">
        <f>ISNUMBER(VALUE(B2))</f>
        <v>0</v>
      </c>
    </row>
    <row r="3" spans="1:20">
      <c r="A3" t="s">
        <v>1608</v>
      </c>
      <c r="B3">
        <f>COUNTA('earthquake_1995-2023'!B:B)-1</f>
        <v>1000</v>
      </c>
      <c r="D3" t="s">
        <v>34</v>
      </c>
      <c r="E3" t="s">
        <v>1609</v>
      </c>
      <c r="G3" t="s">
        <v>1610</v>
      </c>
      <c r="H3" t="s">
        <v>1611</v>
      </c>
      <c r="J3" s="7" t="s">
        <v>1612</v>
      </c>
      <c r="K3" s="7" t="s">
        <v>1613</v>
      </c>
    </row>
    <row r="4" spans="1:20">
      <c r="A4" t="s">
        <v>1614</v>
      </c>
      <c r="B4">
        <f>COUNTBLANK('earthquake_1995-2023'!B2:B1001)</f>
        <v>0</v>
      </c>
      <c r="D4" t="str">
        <f t="array" ref="D4:D12">_xlfn.UNIQUE('earthquake_1995-2023'!M2:M1001)</f>
        <v>mww</v>
      </c>
      <c r="E4">
        <f>COUNTIF('earthquake_1995-2023'!M$2:M$1001,D4)</f>
        <v>502</v>
      </c>
      <c r="G4" t="s">
        <v>15</v>
      </c>
      <c r="H4">
        <f>COUNTIF('earthquake_1995-2023'!F$2:F$1001,G4)</f>
        <v>353</v>
      </c>
      <c r="J4" s="6" t="s">
        <v>1615</v>
      </c>
      <c r="K4" s="6" t="s">
        <v>1616</v>
      </c>
    </row>
    <row r="5" spans="1:20">
      <c r="A5" t="s">
        <v>1617</v>
      </c>
      <c r="B5">
        <f>MIN('earthquake_1995-2023'!B2:B1001)</f>
        <v>6.5</v>
      </c>
      <c r="D5" t="str">
        <v>Mi</v>
      </c>
      <c r="E5">
        <f>COUNTIF('earthquake_1995-2023'!M$2:M$1001,D5)</f>
        <v>5</v>
      </c>
      <c r="G5" t="s">
        <v>18</v>
      </c>
      <c r="H5">
        <f>COUNTIF('earthquake_1995-2023'!F$2:F$1001,G5)</f>
        <v>59</v>
      </c>
      <c r="J5" s="7" t="s">
        <v>22</v>
      </c>
      <c r="K5" s="7" t="s">
        <v>1618</v>
      </c>
    </row>
    <row r="6" spans="1:20">
      <c r="A6" t="s">
        <v>1619</v>
      </c>
      <c r="B6">
        <f>MAX('earthquake_1995-2023'!B2:B1001)</f>
        <v>9.1</v>
      </c>
      <c r="D6" t="str">
        <v>mwc</v>
      </c>
      <c r="E6">
        <f>COUNTIF('earthquake_1995-2023'!M$2:M$1001,D6)</f>
        <v>332</v>
      </c>
      <c r="G6" t="s">
        <v>16</v>
      </c>
      <c r="H6">
        <f>COUNTIF('earthquake_1995-2023'!F$2:F$1001,G6)</f>
        <v>24</v>
      </c>
      <c r="J6" s="7" t="s">
        <v>23</v>
      </c>
      <c r="K6" s="7" t="s">
        <v>1620</v>
      </c>
    </row>
    <row r="7" spans="1:20">
      <c r="A7" t="s">
        <v>1621</v>
      </c>
      <c r="B7">
        <f>AVERAGE('earthquake_1995-2023'!B2:B1001)</f>
        <v>6.9401500000000125</v>
      </c>
      <c r="D7" t="str">
        <v>mwb</v>
      </c>
      <c r="E7">
        <f>COUNTIF('earthquake_1995-2023'!M$2:M$1001,D7)</f>
        <v>100</v>
      </c>
      <c r="G7" t="s">
        <v>17</v>
      </c>
      <c r="H7">
        <f>COUNTIF('earthquake_1995-2023'!F$2:F$1001,G7)</f>
        <v>13</v>
      </c>
      <c r="J7" s="7" t="s">
        <v>24</v>
      </c>
      <c r="K7" s="7" t="s">
        <v>1622</v>
      </c>
    </row>
    <row r="8" spans="1:20">
      <c r="A8" t="s">
        <v>1623</v>
      </c>
      <c r="B8">
        <f>MIN('earthquake_1995-2023'!N2:N1001)</f>
        <v>2.7</v>
      </c>
      <c r="D8" t="str">
        <v>ml</v>
      </c>
      <c r="E8">
        <f>COUNTIF('earthquake_1995-2023'!M$2:M$1001,D8)</f>
        <v>1</v>
      </c>
      <c r="J8" s="7" t="s">
        <v>25</v>
      </c>
      <c r="K8" s="7" t="s">
        <v>1620</v>
      </c>
    </row>
    <row r="9" spans="1:20">
      <c r="A9" t="s">
        <v>1624</v>
      </c>
      <c r="B9">
        <f>MAX('earthquake_1995-2023'!N2:N1001)</f>
        <v>670.81</v>
      </c>
      <c r="D9" t="str">
        <v>mw</v>
      </c>
      <c r="E9">
        <f>COUNTIF('earthquake_1995-2023'!M$2:M$1001,D9)</f>
        <v>51</v>
      </c>
      <c r="J9" s="7" t="s">
        <v>26</v>
      </c>
      <c r="K9" s="7" t="s">
        <v>1620</v>
      </c>
    </row>
    <row r="10" spans="1:20">
      <c r="A10" t="s">
        <v>1625</v>
      </c>
      <c r="B10">
        <f>AVERAGE('earthquake_1995-2023'!N2:N1001)</f>
        <v>74.612540999999965</v>
      </c>
      <c r="D10" t="str">
        <v>ms</v>
      </c>
      <c r="E10">
        <f>COUNTIF('earthquake_1995-2023'!M$2:M$1001,D10)</f>
        <v>3</v>
      </c>
      <c r="J10" s="7" t="s">
        <v>27</v>
      </c>
      <c r="K10" s="7" t="s">
        <v>1626</v>
      </c>
    </row>
    <row r="11" spans="1:20">
      <c r="D11" t="str">
        <v>mb</v>
      </c>
      <c r="E11">
        <f>COUNTIF('earthquake_1995-2023'!M$2:M$1001,D11)</f>
        <v>4</v>
      </c>
      <c r="J11" s="7" t="s">
        <v>28</v>
      </c>
      <c r="K11" s="7" t="s">
        <v>1626</v>
      </c>
    </row>
    <row r="12" spans="1:20">
      <c r="D12" t="str">
        <v>md</v>
      </c>
      <c r="E12">
        <f>COUNTIF('earthquake_1995-2023'!M$2:M$1001,D12)</f>
        <v>2</v>
      </c>
      <c r="J12" s="7" t="s">
        <v>29</v>
      </c>
      <c r="K12" s="7" t="s">
        <v>1620</v>
      </c>
    </row>
    <row r="13" spans="1:20">
      <c r="J13" s="7" t="s">
        <v>30</v>
      </c>
      <c r="K13" s="7" t="s">
        <v>1626</v>
      </c>
    </row>
    <row r="14" spans="1:20">
      <c r="A14" t="s">
        <v>1627</v>
      </c>
      <c r="J14" s="7" t="s">
        <v>31</v>
      </c>
      <c r="K14" s="7" t="s">
        <v>1620</v>
      </c>
    </row>
    <row r="15" spans="1:20">
      <c r="A15" t="s">
        <v>1628</v>
      </c>
      <c r="B15" t="s">
        <v>1629</v>
      </c>
      <c r="C15" t="s">
        <v>1630</v>
      </c>
      <c r="J15" s="7" t="s">
        <v>32</v>
      </c>
      <c r="K15" s="7" t="s">
        <v>1620</v>
      </c>
    </row>
    <row r="16" spans="1:20">
      <c r="A16" t="s">
        <v>27</v>
      </c>
      <c r="B16">
        <f>COUNTBLANK('earthquake_1995-2023'!F2:F1001)</f>
        <v>551</v>
      </c>
      <c r="C16" s="4">
        <f>B16/1000</f>
        <v>0.55100000000000005</v>
      </c>
      <c r="J16" s="7" t="s">
        <v>33</v>
      </c>
      <c r="K16" s="7" t="s">
        <v>1620</v>
      </c>
    </row>
    <row r="17" spans="1:11">
      <c r="A17" t="s">
        <v>39</v>
      </c>
      <c r="B17">
        <f>COUNTBLANK('earthquake_1995-2023'!R2:R1001)</f>
        <v>716</v>
      </c>
      <c r="C17" s="4">
        <f>B17/1000</f>
        <v>0.71599999999999997</v>
      </c>
      <c r="J17" s="7" t="s">
        <v>34</v>
      </c>
      <c r="K17" s="7" t="s">
        <v>1626</v>
      </c>
    </row>
    <row r="18" spans="1:11">
      <c r="A18" t="s">
        <v>40</v>
      </c>
      <c r="B18">
        <f>COUNTBLANK('earthquake_1995-2023'!S2:S1001)</f>
        <v>349</v>
      </c>
      <c r="C18" s="4">
        <f>B18/1000</f>
        <v>0.34899999999999998</v>
      </c>
      <c r="J18" s="7" t="s">
        <v>35</v>
      </c>
      <c r="K18" s="7" t="s">
        <v>1620</v>
      </c>
    </row>
    <row r="19" spans="1:11">
      <c r="A19" t="s">
        <v>38</v>
      </c>
      <c r="B19">
        <f>COUNTBLANK('earthquake_1995-2023'!Q2:Q1001)</f>
        <v>6</v>
      </c>
      <c r="C19" s="4">
        <f>B19/1000</f>
        <v>6.0000000000000001E-3</v>
      </c>
      <c r="J19" s="7" t="s">
        <v>36</v>
      </c>
      <c r="K19" s="7" t="s">
        <v>1620</v>
      </c>
    </row>
    <row r="20" spans="1:11">
      <c r="J20" s="7" t="s">
        <v>37</v>
      </c>
      <c r="K20" s="7" t="s">
        <v>1620</v>
      </c>
    </row>
    <row r="21" spans="1:11">
      <c r="J21" s="7" t="s">
        <v>38</v>
      </c>
      <c r="K21" s="7" t="s">
        <v>1618</v>
      </c>
    </row>
    <row r="22" spans="1:11">
      <c r="A22" t="s">
        <v>1631</v>
      </c>
      <c r="B22" t="b">
        <f>ISNUMBER('earthquake_1995-2023'!C2)</f>
        <v>1</v>
      </c>
      <c r="J22" s="7" t="s">
        <v>39</v>
      </c>
      <c r="K22" s="7" t="s">
        <v>1626</v>
      </c>
    </row>
    <row r="23" spans="1:11">
      <c r="A23" t="s">
        <v>1632</v>
      </c>
      <c r="B23" t="b">
        <f>ISTEXT('earthquake_1995-2023'!C2)</f>
        <v>0</v>
      </c>
      <c r="J23" s="7" t="s">
        <v>40</v>
      </c>
      <c r="K23" s="7" t="s">
        <v>1626</v>
      </c>
    </row>
    <row r="25" spans="1:11">
      <c r="A25" t="s">
        <v>1633</v>
      </c>
      <c r="B25" t="s">
        <v>1611</v>
      </c>
    </row>
    <row r="26" spans="1:11">
      <c r="A26" t="s">
        <v>1634</v>
      </c>
      <c r="B26">
        <f>COUNTIF('earthquake_1995-2023'!U2:U1001,"N km direction of city")</f>
        <v>870</v>
      </c>
    </row>
    <row r="27" spans="1:11">
      <c r="A27" s="5" t="s">
        <v>1635</v>
      </c>
      <c r="B27">
        <f>COUNTIF('earthquake_1995-2023'!U2:U1001,"Named-region")</f>
        <v>130</v>
      </c>
    </row>
    <row r="29" spans="1:11">
      <c r="A29" t="s">
        <v>1636</v>
      </c>
      <c r="B29">
        <f>COUNTIF('earthquake_1995-2023'!W2:W1001,TRUE)</f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J3" sqref="J3"/>
    </sheetView>
  </sheetViews>
  <sheetFormatPr defaultRowHeight="14.4"/>
  <sheetData>
    <row r="1" spans="1:3" ht="43.2" customHeight="1">
      <c r="A1" s="6" t="s">
        <v>1637</v>
      </c>
      <c r="B1" s="6" t="s">
        <v>1638</v>
      </c>
      <c r="C1" s="6" t="s">
        <v>1639</v>
      </c>
    </row>
    <row r="2" spans="1:3" ht="56.4" customHeight="1">
      <c r="A2" s="7" t="s">
        <v>1603</v>
      </c>
      <c r="B2" s="7" t="s">
        <v>1604</v>
      </c>
      <c r="C2" s="7" t="s">
        <v>1640</v>
      </c>
    </row>
    <row r="3" spans="1:3" ht="70.8" customHeight="1">
      <c r="A3" s="7" t="s">
        <v>1641</v>
      </c>
      <c r="B3" s="7" t="s">
        <v>1642</v>
      </c>
      <c r="C3" s="7" t="s">
        <v>1643</v>
      </c>
    </row>
    <row r="4" spans="1:3" ht="70.8" customHeight="1">
      <c r="A4" s="7" t="s">
        <v>1644</v>
      </c>
      <c r="B4" s="7" t="s">
        <v>1645</v>
      </c>
      <c r="C4" s="7" t="s">
        <v>1643</v>
      </c>
    </row>
    <row r="5" spans="1:3" ht="70.8" customHeight="1">
      <c r="A5" s="7" t="s">
        <v>1646</v>
      </c>
      <c r="B5" s="7" t="s">
        <v>1647</v>
      </c>
      <c r="C5" s="7" t="s">
        <v>1648</v>
      </c>
    </row>
    <row r="6" spans="1:3" ht="86.4" customHeight="1">
      <c r="A6" s="7" t="s">
        <v>1649</v>
      </c>
      <c r="B6" s="7" t="s">
        <v>1650</v>
      </c>
      <c r="C6" s="7" t="s">
        <v>1651</v>
      </c>
    </row>
    <row r="7" spans="1:3" ht="72" customHeight="1">
      <c r="A7" s="7" t="s">
        <v>1652</v>
      </c>
      <c r="B7" s="9" t="s">
        <v>1653</v>
      </c>
      <c r="C7" s="7" t="s">
        <v>1654</v>
      </c>
    </row>
    <row r="8" spans="1:3" ht="100.8" customHeight="1">
      <c r="A8" s="7" t="s">
        <v>1655</v>
      </c>
      <c r="B8" s="7" t="s">
        <v>1656</v>
      </c>
      <c r="C8" s="7" t="s">
        <v>1657</v>
      </c>
    </row>
    <row r="9" spans="1:3" ht="72" customHeight="1">
      <c r="A9" s="7" t="s">
        <v>1658</v>
      </c>
      <c r="B9" s="7" t="s">
        <v>1659</v>
      </c>
      <c r="C9" s="7" t="s">
        <v>1660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3"/>
  <sheetViews>
    <sheetView workbookViewId="0">
      <selection activeCell="G24" sqref="G24"/>
    </sheetView>
  </sheetViews>
  <sheetFormatPr defaultRowHeight="14.4"/>
  <cols>
    <col min="1" max="1" width="35.44140625" customWidth="1"/>
    <col min="2" max="2" width="15.5546875" customWidth="1"/>
    <col min="3" max="3" width="17.21875" customWidth="1"/>
    <col min="5" max="5" width="17.6640625" customWidth="1"/>
    <col min="7" max="7" width="18.44140625" customWidth="1"/>
  </cols>
  <sheetData>
    <row r="1" spans="1:8">
      <c r="A1" s="14" t="s">
        <v>1661</v>
      </c>
      <c r="B1" s="15"/>
      <c r="C1" s="15"/>
      <c r="D1" s="15"/>
      <c r="E1" s="15"/>
      <c r="F1" s="15"/>
      <c r="G1" s="15"/>
      <c r="H1" s="15"/>
    </row>
    <row r="3" spans="1:8">
      <c r="A3" t="s">
        <v>1662</v>
      </c>
      <c r="C3" t="s">
        <v>1621</v>
      </c>
      <c r="E3" t="s">
        <v>1617</v>
      </c>
      <c r="G3" t="s">
        <v>1619</v>
      </c>
    </row>
    <row r="4" spans="1:8">
      <c r="A4">
        <f>COUNTA('earthquake_1995-2023'!A2:A1001)</f>
        <v>1000</v>
      </c>
      <c r="C4">
        <f>AVERAGE('earthquake_1995-2023'!B2:B1001)</f>
        <v>6.9401500000000125</v>
      </c>
      <c r="E4">
        <f>MIN('earthquake_1995-2023'!B2:B1001)</f>
        <v>6.5</v>
      </c>
      <c r="G4">
        <f>MAX('earthquake_1995-2023'!B2:B1001)</f>
        <v>9.1</v>
      </c>
    </row>
    <row r="6" spans="1:8">
      <c r="A6" t="s">
        <v>1625</v>
      </c>
      <c r="C6" t="s">
        <v>1623</v>
      </c>
      <c r="E6" t="s">
        <v>1624</v>
      </c>
      <c r="G6" t="s">
        <v>1663</v>
      </c>
    </row>
    <row r="7" spans="1:8">
      <c r="A7">
        <f>AVERAGE('earthquake_1995-2023'!N2:N1001)</f>
        <v>74.612540999999965</v>
      </c>
      <c r="C7">
        <f>MIN('earthquake_1995-2023'!N2:N1001)</f>
        <v>2.7</v>
      </c>
      <c r="E7">
        <f>MAX('earthquake_1995-2023'!N2:N1001)</f>
        <v>670.81</v>
      </c>
      <c r="G7" s="11">
        <f>COUNTBLANK('earthquake_1995-2023'!F2:F1001)/COUNTA('earthquake_1995-2023'!A2:A1001)</f>
        <v>0.55100000000000005</v>
      </c>
    </row>
    <row r="10" spans="1:8">
      <c r="A10" s="10" t="s">
        <v>4</v>
      </c>
      <c r="B10" s="10" t="s">
        <v>5</v>
      </c>
    </row>
    <row r="11" spans="1:8">
      <c r="A11" s="3" t="s">
        <v>6</v>
      </c>
      <c r="B11">
        <v>4</v>
      </c>
    </row>
    <row r="12" spans="1:8">
      <c r="A12" s="3" t="s">
        <v>7</v>
      </c>
      <c r="B12">
        <v>2</v>
      </c>
    </row>
    <row r="13" spans="1:8">
      <c r="A13" s="3" t="s">
        <v>8</v>
      </c>
      <c r="B13">
        <v>5</v>
      </c>
    </row>
    <row r="14" spans="1:8">
      <c r="A14" s="3" t="s">
        <v>9</v>
      </c>
      <c r="B14">
        <v>1</v>
      </c>
    </row>
    <row r="15" spans="1:8">
      <c r="A15" s="3" t="s">
        <v>10</v>
      </c>
      <c r="B15">
        <v>3</v>
      </c>
    </row>
    <row r="16" spans="1:8">
      <c r="A16" s="3" t="s">
        <v>11</v>
      </c>
      <c r="B16">
        <v>51</v>
      </c>
    </row>
    <row r="17" spans="1:2">
      <c r="A17" s="3" t="s">
        <v>12</v>
      </c>
      <c r="B17">
        <v>100</v>
      </c>
    </row>
    <row r="18" spans="1:2">
      <c r="A18" s="3" t="s">
        <v>13</v>
      </c>
      <c r="B18">
        <v>332</v>
      </c>
    </row>
    <row r="19" spans="1:2">
      <c r="A19" s="3" t="s">
        <v>14</v>
      </c>
      <c r="B19">
        <v>502</v>
      </c>
    </row>
    <row r="27" spans="1:2">
      <c r="A27" s="10" t="s">
        <v>4</v>
      </c>
      <c r="B27" s="10" t="s">
        <v>2</v>
      </c>
    </row>
    <row r="28" spans="1:2">
      <c r="A28" s="3" t="s">
        <v>15</v>
      </c>
      <c r="B28">
        <v>353</v>
      </c>
    </row>
    <row r="29" spans="1:2">
      <c r="A29" s="3" t="s">
        <v>16</v>
      </c>
      <c r="B29">
        <v>24</v>
      </c>
    </row>
    <row r="30" spans="1:2">
      <c r="A30" s="3" t="s">
        <v>17</v>
      </c>
      <c r="B30">
        <v>13</v>
      </c>
    </row>
    <row r="31" spans="1:2">
      <c r="A31" s="3" t="s">
        <v>18</v>
      </c>
      <c r="B31">
        <v>59</v>
      </c>
    </row>
    <row r="32" spans="1:2">
      <c r="A32" s="3" t="s">
        <v>19</v>
      </c>
      <c r="B32">
        <v>551</v>
      </c>
    </row>
    <row r="43" spans="1:1" ht="18">
      <c r="A43" s="13" t="s">
        <v>1664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</vt:lpstr>
      <vt:lpstr>Alert</vt:lpstr>
      <vt:lpstr>Magtype</vt:lpstr>
      <vt:lpstr>Earthquake Events by year</vt:lpstr>
      <vt:lpstr>earthquake_1995-2023</vt:lpstr>
      <vt:lpstr>Summary</vt:lpstr>
      <vt:lpstr>Data quality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Saicharan Veldandi</cp:lastModifiedBy>
  <dcterms:created xsi:type="dcterms:W3CDTF">2026-09-07T05:01:28Z</dcterms:created>
  <dcterms:modified xsi:type="dcterms:W3CDTF">2026-09-08T11:08:10Z</dcterms:modified>
</cp:coreProperties>
</file>